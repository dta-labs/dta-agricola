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DTA-Agrícola\Documents\GitHub\dta-agricola\Documentación\Empresa\"/>
    </mc:Choice>
  </mc:AlternateContent>
  <xr:revisionPtr revIDLastSave="0" documentId="13_ncr:1_{4E2D4CD6-4F2C-453E-B0EE-C29F71FF93DD}" xr6:coauthVersionLast="47" xr6:coauthVersionMax="47" xr10:uidLastSave="{00000000-0000-0000-0000-000000000000}"/>
  <bookViews>
    <workbookView xWindow="-6705" yWindow="2655" windowWidth="20730" windowHeight="11160" tabRatio="577" activeTab="3" xr2:uid="{00000000-000D-0000-FFFF-FFFF00000000}"/>
  </bookViews>
  <sheets>
    <sheet name="Movimiento contínuo" sheetId="8" r:id="rId1"/>
    <sheet name="Estacionarios" sheetId="9" r:id="rId2"/>
    <sheet name="Sensores" sheetId="11" r:id="rId3"/>
    <sheet name="Relación de líneas" sheetId="10" r:id="rId4"/>
    <sheet name="Listado de Cliente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1" i="10" l="1"/>
  <c r="K31" i="10"/>
  <c r="L31" i="10"/>
  <c r="M31" i="10"/>
  <c r="J31" i="10"/>
</calcChain>
</file>

<file path=xl/sharedStrings.xml><?xml version="1.0" encoding="utf-8"?>
<sst xmlns="http://schemas.openxmlformats.org/spreadsheetml/2006/main" count="619" uniqueCount="237">
  <si>
    <t>Observaciones</t>
  </si>
  <si>
    <t>No</t>
  </si>
  <si>
    <t>Iccid</t>
  </si>
  <si>
    <t>Teléfono</t>
  </si>
  <si>
    <t>Modelo</t>
  </si>
  <si>
    <t>Serie</t>
  </si>
  <si>
    <t>GSM</t>
  </si>
  <si>
    <t>GPS</t>
  </si>
  <si>
    <t>Batería</t>
  </si>
  <si>
    <t>Configuración</t>
  </si>
  <si>
    <t>Software</t>
  </si>
  <si>
    <t>Servidor</t>
  </si>
  <si>
    <t>Dueño</t>
  </si>
  <si>
    <t>Alias</t>
  </si>
  <si>
    <t>Tipo/Marca</t>
  </si>
  <si>
    <t>[Latitud,Longitud]</t>
  </si>
  <si>
    <t>Instalación</t>
  </si>
  <si>
    <t>Garantía</t>
  </si>
  <si>
    <t>8952020020333843454</t>
  </si>
  <si>
    <t>Pv66-A</t>
  </si>
  <si>
    <t>???</t>
  </si>
  <si>
    <t>2 3</t>
  </si>
  <si>
    <t>Pv66 v0.2.4.0 A</t>
  </si>
  <si>
    <t>http://pprsar.com/cosme/comm_v2.php</t>
  </si>
  <si>
    <t>David</t>
  </si>
  <si>
    <t>David (526251529489)</t>
  </si>
  <si>
    <t>Valley</t>
  </si>
  <si>
    <t>[27.936076, -107.048946]</t>
  </si>
  <si>
    <t>Permanente</t>
  </si>
  <si>
    <t>Primer equipo - Versión original</t>
  </si>
  <si>
    <t>8952020020333844239</t>
  </si>
  <si>
    <t>Pv66-JQC-1211</t>
  </si>
  <si>
    <t>JQC - 1</t>
  </si>
  <si>
    <t>{1, 2, 3, 12, 11, 0, 52, 625, 1271378}</t>
  </si>
  <si>
    <t>Pv66 v0.2.4.220626 A</t>
  </si>
  <si>
    <t>Johan Krahn</t>
  </si>
  <si>
    <t>Johan L2</t>
  </si>
  <si>
    <t>[31.1682,-108.224705]</t>
  </si>
  <si>
    <t>Primera versión 01/06/2020. Se quitaron los cables marrón y naranja del interruptor de selección.</t>
  </si>
  <si>
    <t>8952020020333844205</t>
  </si>
  <si>
    <t>Pv66-A-1211</t>
  </si>
  <si>
    <t>A</t>
  </si>
  <si>
    <t>{0, 2, 3, 12, 11, 0, 52, 625, 1024489}</t>
  </si>
  <si>
    <t>Johan L3</t>
  </si>
  <si>
    <t>[31.168301,-108.23546]</t>
  </si>
  <si>
    <t>8952020020333844296</t>
  </si>
  <si>
    <t>{0, 2, 3, 12, 11, 0, 52, 625, 1452797}</t>
  </si>
  <si>
    <t>Johan L11</t>
  </si>
  <si>
    <t>[31.177465,-108.214081]</t>
  </si>
  <si>
    <t>Primera versión 01/06/2020</t>
  </si>
  <si>
    <t>8952020020333844221</t>
  </si>
  <si>
    <t>{0, 2, 3, 12, 11, 0, 52, 625, 5917395}</t>
  </si>
  <si>
    <t>Johan L12</t>
  </si>
  <si>
    <t>Growsmart</t>
  </si>
  <si>
    <t>[31.177441,-108.224663]</t>
  </si>
  <si>
    <t xml:space="preserve"> </t>
  </si>
  <si>
    <t>8952020020333844247</t>
  </si>
  <si>
    <t>{0, 2, 3, 12, 11, 0, 52, 625, 1193016}</t>
  </si>
  <si>
    <t>Johan L21</t>
  </si>
  <si>
    <t>Simmatic</t>
  </si>
  <si>
    <t>[31.186665,-108.214106]</t>
  </si>
  <si>
    <t>8952020020333844288</t>
  </si>
  <si>
    <t>Pv66-FL-1211</t>
  </si>
  <si>
    <t>FL - 0</t>
  </si>
  <si>
    <t>Sí</t>
  </si>
  <si>
    <t>{0, 2, 3, 12, 11, 0, 52, 625, 1342314}</t>
  </si>
  <si>
    <t>Bernardo Krahn</t>
  </si>
  <si>
    <t>Bernardo L83</t>
  </si>
  <si>
    <t>Limsay</t>
  </si>
  <si>
    <t>[31.1275895,-108.18300125]</t>
  </si>
  <si>
    <t>Primera versión 01/06/2019</t>
  </si>
  <si>
    <t>8952020020333844270</t>
  </si>
  <si>
    <t>FL-0</t>
  </si>
  <si>
    <t>3 2</t>
  </si>
  <si>
    <t>{0, 3, 2, 12, 11, 0, 52, 625, 1201079}</t>
  </si>
  <si>
    <t>Pv66 v0.2.4.220529 A</t>
  </si>
  <si>
    <t>Claudio González</t>
  </si>
  <si>
    <t>Claudio P1</t>
  </si>
  <si>
    <t>[28.422067,-107.51106]</t>
  </si>
  <si>
    <t>Equipo de prueba</t>
  </si>
  <si>
    <t>8952020020633586688</t>
  </si>
  <si>
    <t>Pv66-FL-1312</t>
  </si>
  <si>
    <t>{0, 2, 3, 13, 12, 0, 52, 625, 1020232}</t>
  </si>
  <si>
    <t>Abraham</t>
  </si>
  <si>
    <t>Abraham 1</t>
  </si>
  <si>
    <t>Reinke</t>
  </si>
  <si>
    <t>[30.727967,-107.894213]</t>
  </si>
  <si>
    <t>8952020020333844197</t>
  </si>
  <si>
    <t>{0, 2, 3, 12, 11, 0, 52, 625, 1531996}</t>
  </si>
  <si>
    <t>Abraham 4</t>
  </si>
  <si>
    <t>[30.73537,-107.89424]</t>
  </si>
  <si>
    <t>Quitar relay de la derecha (auto reversa)</t>
  </si>
  <si>
    <t>Alta</t>
  </si>
  <si>
    <t>Baja</t>
  </si>
  <si>
    <t>8952020020333844189</t>
  </si>
  <si>
    <t>{0, 3, 2, 12, 11, 0, 52, 625, 837,2598}</t>
  </si>
  <si>
    <t>Pv66 v0.2.6.240106 A</t>
  </si>
  <si>
    <t>Abraham 5</t>
  </si>
  <si>
    <t>[30.725965,-107.874697]</t>
  </si>
  <si>
    <t>8952020020333844304</t>
  </si>
  <si>
    <t>{0, 2, 3, 13, 12, 0, 52, 625, 1037317}</t>
  </si>
  <si>
    <t>Abraham 8</t>
  </si>
  <si>
    <t>Reintic</t>
  </si>
  <si>
    <t>[30.74075,-107.867944]</t>
  </si>
  <si>
    <t>Se invirtieron los cables FF y RR en la torre final</t>
  </si>
  <si>
    <t>8952020020333844254</t>
  </si>
  <si>
    <t>{0, 2, 3, 12, 11, 0, 52, 625, 1060168}</t>
  </si>
  <si>
    <t>Polo 1</t>
  </si>
  <si>
    <t>[30.674296,-107.909792]</t>
  </si>
  <si>
    <t>Se quitaron los cables marrón y naranja del interruptor de selección. El cable de pistola no llega a la última torre. Se invirtieron los cables de seguridad Amarillo-Rojo y Amarillo. Se sensa la seguridad en el Amarillo.</t>
  </si>
  <si>
    <t>8952020020333844171</t>
  </si>
  <si>
    <t>Pv66-JQC12V-1211</t>
  </si>
  <si>
    <t>JQC12V-1</t>
  </si>
  <si>
    <t>{1, 2, 3, 12, 11, 0, 52, 625, 1059200}</t>
  </si>
  <si>
    <t>Cornelio Wibe</t>
  </si>
  <si>
    <t>Knals L21</t>
  </si>
  <si>
    <t>Zimmatic</t>
  </si>
  <si>
    <t>[30.95348,-108.520523]</t>
  </si>
  <si>
    <t>8952020020633586704</t>
  </si>
  <si>
    <t>{1, 2, 3, 12, 11, 0, 52, 625, 1020790}</t>
  </si>
  <si>
    <t>Knals L19</t>
  </si>
  <si>
    <t>[30.922254,-108.543824]</t>
  </si>
  <si>
    <t>8952020020633586670</t>
  </si>
  <si>
    <t>{0, 3, 2, 12, 11, 0, 52, 625, 1020642}</t>
  </si>
  <si>
    <t>Parcela 1</t>
  </si>
  <si>
    <t>Parcela 2</t>
  </si>
  <si>
    <t>Parcela 3</t>
  </si>
  <si>
    <t>Parcela 4</t>
  </si>
  <si>
    <t>Parcela 5</t>
  </si>
  <si>
    <t>Parcela 6</t>
  </si>
  <si>
    <t>Parcela 7</t>
  </si>
  <si>
    <t>AG07</t>
  </si>
  <si>
    <t>24VAC</t>
  </si>
  <si>
    <t>{2, 3, 7, 11, 111, 1111111}</t>
  </si>
  <si>
    <t>AGxx v0.2.1 A</t>
  </si>
  <si>
    <t>http://pprsar.com/cosme/commj_v2.php</t>
  </si>
  <si>
    <t>Nieves</t>
  </si>
  <si>
    <t xml:space="preserve">Nieves - Belisario </t>
  </si>
  <si>
    <t>[28.16642,-106.495612]</t>
  </si>
  <si>
    <t>Primera versión 01/06/2020.</t>
  </si>
  <si>
    <t>8952020020633586696</t>
  </si>
  <si>
    <t>AG07 eco</t>
  </si>
  <si>
    <t>{2, 3, 7, 52, 625, 102, 0596}</t>
  </si>
  <si>
    <t>AGxx v0.2.2 A</t>
  </si>
  <si>
    <t>Edmundo</t>
  </si>
  <si>
    <t>Granja Las Maravillas</t>
  </si>
  <si>
    <t>[28.52265,-106.184455]</t>
  </si>
  <si>
    <t>8952020020633586662</t>
  </si>
  <si>
    <t>AG06+</t>
  </si>
  <si>
    <t>{2, 3, 6, 52, 625, 102, 0266}</t>
  </si>
  <si>
    <t>Rodolfo</t>
  </si>
  <si>
    <t>CDT La Noria</t>
  </si>
  <si>
    <t>[21.979798, -98.753810]</t>
  </si>
  <si>
    <t>8952020020333844262</t>
  </si>
  <si>
    <t>AG7 Xtreme</t>
  </si>
  <si>
    <t>{2, 3, 7, 52, 625, 157, 9804}</t>
  </si>
  <si>
    <t>http://dtaamerica.com/ws/commj_v2.php</t>
  </si>
  <si>
    <t>Hugo</t>
  </si>
  <si>
    <t>Meoqui</t>
  </si>
  <si>
    <t>AG7 eco</t>
  </si>
  <si>
    <t>{2, 3, 7, 52, 625, 153, 1996}</t>
  </si>
  <si>
    <t>8952020020333844213</t>
  </si>
  <si>
    <t>{2, 3, 52, 625, 125, 9145}</t>
  </si>
  <si>
    <t>LoRa_Gateway_v4</t>
  </si>
  <si>
    <t>http://dtaamerica.com/ws/sensor_v1.php</t>
  </si>
  <si>
    <t>Alberto Delgado</t>
  </si>
  <si>
    <t>Sensores Campo 27</t>
  </si>
  <si>
    <t>[28.405038, -106.895213]</t>
  </si>
  <si>
    <t>{2, 3, 52, 625, 106, 0168}</t>
  </si>
  <si>
    <t xml:space="preserve">Hugo </t>
  </si>
  <si>
    <t>Cuenta</t>
  </si>
  <si>
    <t>Ciclo</t>
  </si>
  <si>
    <t>Nombre</t>
  </si>
  <si>
    <t>Usuario</t>
  </si>
  <si>
    <t>Existencia</t>
  </si>
  <si>
    <t>Estado</t>
  </si>
  <si>
    <t>Procedimiento</t>
  </si>
  <si>
    <t>ECHEMENDIA NARANJO MIRIAM ESTHER</t>
  </si>
  <si>
    <t>Ok</t>
  </si>
  <si>
    <t>Listo</t>
  </si>
  <si>
    <t>Quitar</t>
  </si>
  <si>
    <t>Abraham 5 -&gt;</t>
  </si>
  <si>
    <t>Campo 27</t>
  </si>
  <si>
    <t>Bernardo</t>
  </si>
  <si>
    <t>**</t>
  </si>
  <si>
    <t>-</t>
  </si>
  <si>
    <t>La Noria</t>
  </si>
  <si>
    <t>Activo</t>
  </si>
  <si>
    <t>¨</t>
  </si>
  <si>
    <t>þ</t>
  </si>
  <si>
    <t>Nieves - Belisario</t>
  </si>
  <si>
    <t>Manuel Rivera</t>
  </si>
  <si>
    <t>Ruben</t>
  </si>
  <si>
    <t>Heber Alonso</t>
  </si>
  <si>
    <t>Carlos Macyshyn</t>
  </si>
  <si>
    <t>Salvador Saenz Mendoza</t>
  </si>
  <si>
    <t>Mesa</t>
  </si>
  <si>
    <t>Luis Carlos</t>
  </si>
  <si>
    <t>Silvia Yadira</t>
  </si>
  <si>
    <t>Ramiro Teran</t>
  </si>
  <si>
    <t>Laura C. - Manuel M.</t>
  </si>
  <si>
    <t>Carlos Estrada</t>
  </si>
  <si>
    <t>Ignacio Delgado</t>
  </si>
  <si>
    <t>Alvaro Loya Andujo</t>
  </si>
  <si>
    <t>Nieves - Cesped (94309)</t>
  </si>
  <si>
    <t>Pack5</t>
  </si>
  <si>
    <t>Pack10</t>
  </si>
  <si>
    <t>Pack3</t>
  </si>
  <si>
    <t>Pack5+1</t>
  </si>
  <si>
    <t>Revisar sensores 1 y 5</t>
  </si>
  <si>
    <t>Revisar sensor 5</t>
  </si>
  <si>
    <t>Instalar</t>
  </si>
  <si>
    <t>Llamar y ver qué pasa?</t>
  </si>
  <si>
    <t>SHT4</t>
  </si>
  <si>
    <t>Presión</t>
  </si>
  <si>
    <t>Instalar y Sensores de presión</t>
  </si>
  <si>
    <t>Pv66</t>
  </si>
  <si>
    <t>Gateway</t>
  </si>
  <si>
    <t>Necesidades</t>
  </si>
  <si>
    <t>Revisar el gateway y sensores</t>
  </si>
  <si>
    <t>Revisar sensores 2, 3 y 4</t>
  </si>
  <si>
    <t>Hugo Morales (Meoqui)</t>
  </si>
  <si>
    <t>SHT2</t>
  </si>
  <si>
    <t>Claudio (Celso Pivote 1)</t>
  </si>
  <si>
    <t>Edmundo (Granjas Las Maravillas)</t>
  </si>
  <si>
    <t>Alfredo Quintana (Rancho El Sauz)</t>
  </si>
  <si>
    <t>Alvaro Mingura (Pack5)</t>
  </si>
  <si>
    <t>Claudio (PROFRUT - Rancho)</t>
  </si>
  <si>
    <t>Claudio (PROFRUT - El estanque)</t>
  </si>
  <si>
    <t>Sensor Roto</t>
  </si>
  <si>
    <t>Sensores desintalados</t>
  </si>
  <si>
    <t>Revisar encendido de la bomba</t>
  </si>
  <si>
    <t>Francisco Teran / Guadalupe (FJTeran)</t>
  </si>
  <si>
    <t>Javier Hernández (Pack 3)</t>
  </si>
  <si>
    <t>Carlos Macyshyn (Pack 6)</t>
  </si>
  <si>
    <t>????</t>
  </si>
  <si>
    <r>
      <t>89520200</t>
    </r>
    <r>
      <rPr>
        <b/>
        <sz val="11"/>
        <color theme="0"/>
        <rFont val="Calibri"/>
        <family val="2"/>
        <scheme val="minor"/>
      </rPr>
      <t>20333844270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</si>
</sst>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Wingdings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theme="2"/>
      <name val="Calibri"/>
      <charset val="134"/>
      <scheme val="minor"/>
    </font>
    <font>
      <b/>
      <sz val="11"/>
      <color theme="2"/>
      <name val="Calibri"/>
      <charset val="134"/>
      <scheme val="minor"/>
    </font>
    <font>
      <u/>
      <sz val="11"/>
      <color theme="2"/>
      <name val="Calibri"/>
      <charset val="134"/>
      <scheme val="minor"/>
    </font>
    <font>
      <b/>
      <u/>
      <sz val="11"/>
      <color theme="2"/>
      <name val="Calibri"/>
      <charset val="134"/>
      <scheme val="minor"/>
    </font>
    <font>
      <b/>
      <u/>
      <sz val="11"/>
      <color rgb="FF0000FF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172">
    <xf numFmtId="0" fontId="0" fillId="0" borderId="0" xfId="0"/>
    <xf numFmtId="0" fontId="0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top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14" fontId="6" fillId="3" borderId="0" xfId="0" applyNumberFormat="1" applyFont="1" applyFill="1" applyAlignment="1">
      <alignment horizontal="right" vertical="top"/>
    </xf>
    <xf numFmtId="14" fontId="6" fillId="3" borderId="0" xfId="0" applyNumberFormat="1" applyFont="1" applyFill="1" applyAlignment="1">
      <alignment vertical="top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14" fontId="6" fillId="4" borderId="0" xfId="0" applyNumberFormat="1" applyFont="1" applyFill="1" applyAlignment="1">
      <alignment horizontal="right" vertical="top"/>
    </xf>
    <xf numFmtId="14" fontId="6" fillId="4" borderId="0" xfId="0" applyNumberFormat="1" applyFont="1" applyFill="1" applyAlignment="1">
      <alignment vertical="top"/>
    </xf>
    <xf numFmtId="0" fontId="6" fillId="3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right" vertical="top"/>
    </xf>
    <xf numFmtId="0" fontId="6" fillId="3" borderId="0" xfId="0" applyFont="1" applyFill="1" applyAlignment="1">
      <alignment horizontal="right" vertical="top"/>
    </xf>
    <xf numFmtId="0" fontId="6" fillId="4" borderId="0" xfId="0" applyFont="1" applyFill="1"/>
    <xf numFmtId="0" fontId="6" fillId="3" borderId="0" xfId="0" applyFont="1" applyFill="1"/>
    <xf numFmtId="0" fontId="7" fillId="5" borderId="0" xfId="0" applyFont="1" applyFill="1"/>
    <xf numFmtId="0" fontId="7" fillId="6" borderId="0" xfId="0" applyFont="1" applyFill="1"/>
    <xf numFmtId="0" fontId="7" fillId="7" borderId="0" xfId="0" applyFont="1" applyFill="1"/>
    <xf numFmtId="0" fontId="6" fillId="8" borderId="0" xfId="0" applyFont="1" applyFill="1"/>
    <xf numFmtId="0" fontId="8" fillId="9" borderId="1" xfId="0" applyFont="1" applyFill="1" applyBorder="1" applyAlignment="1">
      <alignment horizontal="center" wrapText="1"/>
    </xf>
    <xf numFmtId="1" fontId="7" fillId="5" borderId="0" xfId="0" applyNumberFormat="1" applyFont="1" applyFill="1" applyAlignment="1">
      <alignment wrapText="1"/>
    </xf>
    <xf numFmtId="49" fontId="7" fillId="5" borderId="0" xfId="0" applyNumberFormat="1" applyFont="1" applyFill="1" applyAlignment="1">
      <alignment wrapText="1"/>
    </xf>
    <xf numFmtId="0" fontId="7" fillId="5" borderId="0" xfId="0" applyFont="1" applyFill="1" applyAlignment="1">
      <alignment wrapText="1"/>
    </xf>
    <xf numFmtId="49" fontId="7" fillId="6" borderId="0" xfId="0" applyNumberFormat="1" applyFont="1" applyFill="1" applyAlignment="1">
      <alignment wrapText="1"/>
    </xf>
    <xf numFmtId="1" fontId="7" fillId="6" borderId="0" xfId="0" applyNumberFormat="1" applyFont="1" applyFill="1" applyAlignment="1">
      <alignment wrapText="1"/>
    </xf>
    <xf numFmtId="0" fontId="7" fillId="6" borderId="0" xfId="0" applyFont="1" applyFill="1" applyAlignment="1">
      <alignment wrapText="1"/>
    </xf>
    <xf numFmtId="49" fontId="7" fillId="7" borderId="0" xfId="0" applyNumberFormat="1" applyFont="1" applyFill="1" applyAlignment="1">
      <alignment wrapText="1"/>
    </xf>
    <xf numFmtId="1" fontId="7" fillId="7" borderId="0" xfId="0" applyNumberFormat="1" applyFont="1" applyFill="1" applyAlignment="1">
      <alignment wrapText="1"/>
    </xf>
    <xf numFmtId="0" fontId="7" fillId="7" borderId="0" xfId="0" applyFont="1" applyFill="1" applyAlignment="1">
      <alignment wrapText="1"/>
    </xf>
    <xf numFmtId="49" fontId="6" fillId="8" borderId="0" xfId="0" applyNumberFormat="1" applyFont="1" applyFill="1" applyAlignment="1">
      <alignment wrapText="1"/>
    </xf>
    <xf numFmtId="1" fontId="6" fillId="8" borderId="0" xfId="0" applyNumberFormat="1" applyFont="1" applyFill="1" applyAlignment="1">
      <alignment wrapText="1"/>
    </xf>
    <xf numFmtId="0" fontId="6" fillId="8" borderId="0" xfId="0" applyFont="1" applyFill="1" applyAlignment="1">
      <alignment wrapText="1"/>
    </xf>
    <xf numFmtId="1" fontId="7" fillId="6" borderId="1" xfId="0" applyNumberFormat="1" applyFont="1" applyFill="1" applyBorder="1" applyAlignment="1">
      <alignment wrapText="1"/>
    </xf>
    <xf numFmtId="0" fontId="7" fillId="6" borderId="1" xfId="0" applyFont="1" applyFill="1" applyBorder="1" applyAlignment="1">
      <alignment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/>
    </xf>
    <xf numFmtId="0" fontId="9" fillId="0" borderId="0" xfId="1" applyFill="1" applyAlignment="1">
      <alignment horizontal="left" vertical="top"/>
    </xf>
    <xf numFmtId="49" fontId="0" fillId="10" borderId="0" xfId="0" applyNumberFormat="1" applyFill="1" applyAlignment="1">
      <alignment wrapText="1"/>
    </xf>
    <xf numFmtId="1" fontId="0" fillId="10" borderId="0" xfId="0" applyNumberFormat="1" applyFill="1" applyAlignment="1">
      <alignment wrapText="1"/>
    </xf>
    <xf numFmtId="0" fontId="0" fillId="0" borderId="0" xfId="0" applyFont="1" applyAlignment="1">
      <alignment horizontal="center" vertical="top"/>
    </xf>
    <xf numFmtId="49" fontId="10" fillId="0" borderId="0" xfId="0" applyNumberFormat="1" applyFont="1" applyAlignment="1">
      <alignment vertical="top" wrapText="1"/>
    </xf>
    <xf numFmtId="1" fontId="3" fillId="0" borderId="0" xfId="0" applyNumberFormat="1" applyFont="1" applyAlignment="1">
      <alignment vertical="top"/>
    </xf>
    <xf numFmtId="14" fontId="0" fillId="0" borderId="0" xfId="0" applyNumberFormat="1" applyFont="1" applyAlignment="1">
      <alignment horizontal="right" vertical="top"/>
    </xf>
    <xf numFmtId="14" fontId="0" fillId="0" borderId="0" xfId="0" applyNumberFormat="1" applyAlignment="1">
      <alignment vertical="top"/>
    </xf>
    <xf numFmtId="14" fontId="0" fillId="0" borderId="0" xfId="0" applyNumberFormat="1" applyAlignment="1">
      <alignment vertical="top" wrapText="1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 wrapText="1"/>
    </xf>
    <xf numFmtId="0" fontId="0" fillId="11" borderId="0" xfId="0" applyFill="1" applyAlignment="1">
      <alignment vertical="top"/>
    </xf>
    <xf numFmtId="0" fontId="11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3" fillId="12" borderId="0" xfId="0" applyFont="1" applyFill="1" applyAlignment="1">
      <alignment vertical="top"/>
    </xf>
    <xf numFmtId="0" fontId="3" fillId="0" borderId="0" xfId="0" applyFont="1" applyAlignment="1">
      <alignment horizontal="center" vertical="top" wrapText="1"/>
    </xf>
    <xf numFmtId="49" fontId="0" fillId="11" borderId="0" xfId="0" applyNumberFormat="1" applyFill="1" applyAlignment="1">
      <alignment vertical="top" wrapText="1"/>
    </xf>
    <xf numFmtId="1" fontId="0" fillId="11" borderId="0" xfId="0" applyNumberFormat="1" applyFill="1" applyAlignment="1">
      <alignment vertical="top" wrapText="1"/>
    </xf>
    <xf numFmtId="0" fontId="0" fillId="11" borderId="0" xfId="0" applyFill="1" applyAlignment="1">
      <alignment horizontal="center" vertical="top"/>
    </xf>
    <xf numFmtId="0" fontId="3" fillId="11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vertical="top" wrapText="1"/>
    </xf>
    <xf numFmtId="1" fontId="12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wrapText="1"/>
    </xf>
    <xf numFmtId="1" fontId="12" fillId="5" borderId="0" xfId="0" applyNumberFormat="1" applyFont="1" applyFill="1" applyAlignment="1">
      <alignment wrapText="1"/>
    </xf>
    <xf numFmtId="49" fontId="3" fillId="12" borderId="0" xfId="0" applyNumberFormat="1" applyFont="1" applyFill="1" applyAlignment="1">
      <alignment wrapText="1"/>
    </xf>
    <xf numFmtId="1" fontId="3" fillId="12" borderId="0" xfId="0" applyNumberFormat="1" applyFont="1" applyFill="1" applyAlignment="1">
      <alignment wrapText="1"/>
    </xf>
    <xf numFmtId="0" fontId="3" fillId="12" borderId="0" xfId="0" applyFont="1" applyFill="1" applyAlignment="1">
      <alignment horizontal="center" vertical="top"/>
    </xf>
    <xf numFmtId="0" fontId="9" fillId="11" borderId="0" xfId="1" applyFill="1" applyAlignment="1">
      <alignment horizontal="left" vertical="top"/>
    </xf>
    <xf numFmtId="14" fontId="0" fillId="11" borderId="0" xfId="0" applyNumberFormat="1" applyFill="1" applyAlignment="1">
      <alignment horizontal="right" vertical="top"/>
    </xf>
    <xf numFmtId="0" fontId="13" fillId="5" borderId="0" xfId="1" applyFont="1" applyFill="1" applyAlignment="1">
      <alignment horizontal="left" vertical="top"/>
    </xf>
    <xf numFmtId="0" fontId="12" fillId="5" borderId="0" xfId="0" applyFont="1" applyFill="1" applyAlignment="1">
      <alignment horizontal="right" vertical="top"/>
    </xf>
    <xf numFmtId="0" fontId="14" fillId="5" borderId="0" xfId="1" applyFont="1" applyFill="1" applyAlignment="1">
      <alignment vertical="top"/>
    </xf>
    <xf numFmtId="0" fontId="15" fillId="12" borderId="0" xfId="1" applyFont="1" applyFill="1" applyAlignment="1">
      <alignment vertical="top"/>
    </xf>
    <xf numFmtId="14" fontId="0" fillId="11" borderId="0" xfId="0" applyNumberFormat="1" applyFill="1" applyAlignment="1">
      <alignment vertical="top"/>
    </xf>
    <xf numFmtId="14" fontId="0" fillId="11" borderId="0" xfId="0" applyNumberFormat="1" applyFill="1" applyAlignment="1">
      <alignment vertical="top" wrapText="1"/>
    </xf>
    <xf numFmtId="0" fontId="11" fillId="5" borderId="0" xfId="0" applyFont="1" applyFill="1" applyAlignment="1">
      <alignment vertical="top" wrapText="1"/>
    </xf>
    <xf numFmtId="0" fontId="12" fillId="5" borderId="0" xfId="0" applyFont="1" applyFill="1" applyAlignment="1">
      <alignment vertical="top" wrapText="1"/>
    </xf>
    <xf numFmtId="0" fontId="3" fillId="12" borderId="0" xfId="0" applyFont="1" applyFill="1" applyAlignment="1">
      <alignment vertical="top" wrapText="1"/>
    </xf>
    <xf numFmtId="0" fontId="8" fillId="5" borderId="0" xfId="0" applyFont="1" applyFill="1" applyAlignment="1">
      <alignment vertical="top"/>
    </xf>
    <xf numFmtId="0" fontId="4" fillId="8" borderId="0" xfId="0" applyFont="1" applyFill="1" applyAlignment="1">
      <alignment vertical="top"/>
    </xf>
    <xf numFmtId="0" fontId="7" fillId="13" borderId="0" xfId="0" applyFont="1" applyFill="1" applyAlignment="1">
      <alignment vertical="top"/>
    </xf>
    <xf numFmtId="0" fontId="8" fillId="14" borderId="0" xfId="0" applyFont="1" applyFill="1" applyAlignment="1">
      <alignment vertical="top"/>
    </xf>
    <xf numFmtId="0" fontId="8" fillId="15" borderId="0" xfId="0" applyFont="1" applyFill="1" applyAlignment="1">
      <alignment vertical="top"/>
    </xf>
    <xf numFmtId="0" fontId="16" fillId="0" borderId="0" xfId="0" applyFont="1" applyAlignment="1">
      <alignment vertical="top"/>
    </xf>
    <xf numFmtId="0" fontId="6" fillId="8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49" fontId="11" fillId="5" borderId="0" xfId="0" applyNumberFormat="1" applyFont="1" applyFill="1" applyAlignment="1">
      <alignment vertical="top" wrapText="1"/>
    </xf>
    <xf numFmtId="1" fontId="11" fillId="5" borderId="0" xfId="0" applyNumberFormat="1" applyFont="1" applyFill="1" applyAlignment="1">
      <alignment vertical="top" wrapText="1"/>
    </xf>
    <xf numFmtId="0" fontId="11" fillId="5" borderId="0" xfId="0" applyFont="1" applyFill="1" applyAlignment="1">
      <alignment horizontal="center" vertical="top"/>
    </xf>
    <xf numFmtId="49" fontId="8" fillId="5" borderId="0" xfId="0" applyNumberFormat="1" applyFont="1" applyFill="1" applyAlignment="1">
      <alignment vertical="top" wrapText="1"/>
    </xf>
    <xf numFmtId="1" fontId="8" fillId="5" borderId="0" xfId="0" applyNumberFormat="1" applyFont="1" applyFill="1" applyAlignment="1">
      <alignment vertical="top" wrapText="1"/>
    </xf>
    <xf numFmtId="0" fontId="8" fillId="5" borderId="0" xfId="0" applyFont="1" applyFill="1" applyAlignment="1">
      <alignment horizontal="center" vertical="top"/>
    </xf>
    <xf numFmtId="1" fontId="12" fillId="5" borderId="0" xfId="0" applyNumberFormat="1" applyFont="1" applyFill="1" applyAlignment="1">
      <alignment vertical="top" wrapText="1"/>
    </xf>
    <xf numFmtId="49" fontId="4" fillId="8" borderId="0" xfId="0" applyNumberFormat="1" applyFont="1" applyFill="1" applyAlignment="1">
      <alignment vertical="top" wrapText="1"/>
    </xf>
    <xf numFmtId="1" fontId="4" fillId="8" borderId="0" xfId="0" applyNumberFormat="1" applyFont="1" applyFill="1" applyAlignment="1">
      <alignment vertical="top" wrapText="1"/>
    </xf>
    <xf numFmtId="0" fontId="4" fillId="8" borderId="0" xfId="0" applyFont="1" applyFill="1" applyAlignment="1">
      <alignment horizontal="center" vertical="top"/>
    </xf>
    <xf numFmtId="49" fontId="7" fillId="13" borderId="0" xfId="0" applyNumberFormat="1" applyFont="1" applyFill="1" applyAlignment="1">
      <alignment vertical="top" wrapText="1"/>
    </xf>
    <xf numFmtId="1" fontId="7" fillId="13" borderId="0" xfId="0" applyNumberFormat="1" applyFont="1" applyFill="1" applyAlignment="1">
      <alignment vertical="top" wrapText="1"/>
    </xf>
    <xf numFmtId="0" fontId="7" fillId="13" borderId="0" xfId="0" applyFont="1" applyFill="1" applyAlignment="1">
      <alignment horizontal="center" vertical="top"/>
    </xf>
    <xf numFmtId="49" fontId="8" fillId="14" borderId="0" xfId="0" applyNumberFormat="1" applyFont="1" applyFill="1" applyAlignment="1">
      <alignment vertical="top" wrapText="1"/>
    </xf>
    <xf numFmtId="1" fontId="8" fillId="14" borderId="0" xfId="0" applyNumberFormat="1" applyFont="1" applyFill="1" applyAlignment="1">
      <alignment horizontal="right" vertical="top" wrapText="1"/>
    </xf>
    <xf numFmtId="0" fontId="8" fillId="14" borderId="0" xfId="0" applyFont="1" applyFill="1" applyAlignment="1">
      <alignment horizontal="center" vertical="top"/>
    </xf>
    <xf numFmtId="1" fontId="8" fillId="14" borderId="0" xfId="0" applyNumberFormat="1" applyFont="1" applyFill="1" applyAlignment="1">
      <alignment vertical="top" wrapText="1"/>
    </xf>
    <xf numFmtId="49" fontId="8" fillId="15" borderId="0" xfId="0" applyNumberFormat="1" applyFont="1" applyFill="1" applyAlignment="1">
      <alignment vertical="top" wrapText="1"/>
    </xf>
    <xf numFmtId="1" fontId="8" fillId="15" borderId="0" xfId="0" applyNumberFormat="1" applyFont="1" applyFill="1" applyAlignment="1">
      <alignment vertical="top" wrapText="1"/>
    </xf>
    <xf numFmtId="0" fontId="8" fillId="15" borderId="0" xfId="0" applyFont="1" applyFill="1" applyAlignment="1">
      <alignment horizontal="center" vertical="top"/>
    </xf>
    <xf numFmtId="49" fontId="16" fillId="0" borderId="0" xfId="0" applyNumberFormat="1" applyFont="1" applyAlignment="1">
      <alignment vertical="top" wrapText="1"/>
    </xf>
    <xf numFmtId="1" fontId="16" fillId="0" borderId="0" xfId="0" applyNumberFormat="1" applyFont="1" applyAlignment="1">
      <alignment horizontal="right" vertical="top" wrapText="1"/>
    </xf>
    <xf numFmtId="0" fontId="16" fillId="0" borderId="0" xfId="0" applyFont="1" applyAlignment="1">
      <alignment horizontal="center" vertical="top"/>
    </xf>
    <xf numFmtId="1" fontId="4" fillId="8" borderId="0" xfId="0" applyNumberFormat="1" applyFont="1" applyFill="1" applyAlignment="1">
      <alignment vertical="top"/>
    </xf>
    <xf numFmtId="0" fontId="11" fillId="5" borderId="0" xfId="0" applyFont="1" applyFill="1" applyAlignment="1">
      <alignment horizontal="left" vertical="top"/>
    </xf>
    <xf numFmtId="14" fontId="11" fillId="5" borderId="0" xfId="0" applyNumberFormat="1" applyFont="1" applyFill="1" applyAlignment="1">
      <alignment horizontal="right" vertical="top"/>
    </xf>
    <xf numFmtId="14" fontId="11" fillId="5" borderId="0" xfId="0" applyNumberFormat="1" applyFont="1" applyFill="1" applyAlignment="1">
      <alignment vertical="top"/>
    </xf>
    <xf numFmtId="0" fontId="8" fillId="5" borderId="0" xfId="0" applyFont="1" applyFill="1" applyAlignment="1">
      <alignment horizontal="left" vertical="top"/>
    </xf>
    <xf numFmtId="14" fontId="8" fillId="5" borderId="0" xfId="0" applyNumberFormat="1" applyFont="1" applyFill="1" applyAlignment="1">
      <alignment horizontal="right" vertical="top"/>
    </xf>
    <xf numFmtId="14" fontId="8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left" vertical="top"/>
    </xf>
    <xf numFmtId="14" fontId="12" fillId="5" borderId="0" xfId="0" applyNumberFormat="1" applyFont="1" applyFill="1" applyAlignment="1">
      <alignment horizontal="right" vertical="top"/>
    </xf>
    <xf numFmtId="14" fontId="12" fillId="5" borderId="0" xfId="0" applyNumberFormat="1" applyFont="1" applyFill="1" applyAlignment="1">
      <alignment vertical="top"/>
    </xf>
    <xf numFmtId="0" fontId="4" fillId="8" borderId="0" xfId="0" applyFont="1" applyFill="1" applyAlignment="1">
      <alignment horizontal="left" vertical="top"/>
    </xf>
    <xf numFmtId="14" fontId="4" fillId="8" borderId="0" xfId="0" applyNumberFormat="1" applyFont="1" applyFill="1" applyAlignment="1">
      <alignment horizontal="right" vertical="top"/>
    </xf>
    <xf numFmtId="14" fontId="4" fillId="8" borderId="0" xfId="0" applyNumberFormat="1" applyFont="1" applyFill="1" applyAlignment="1">
      <alignment vertical="top"/>
    </xf>
    <xf numFmtId="0" fontId="7" fillId="13" borderId="0" xfId="0" applyFont="1" applyFill="1" applyAlignment="1">
      <alignment horizontal="left" vertical="top"/>
    </xf>
    <xf numFmtId="14" fontId="7" fillId="13" borderId="0" xfId="0" applyNumberFormat="1" applyFont="1" applyFill="1" applyAlignment="1">
      <alignment horizontal="right" vertical="top"/>
    </xf>
    <xf numFmtId="14" fontId="7" fillId="13" borderId="0" xfId="0" applyNumberFormat="1" applyFont="1" applyFill="1" applyAlignment="1">
      <alignment vertical="top"/>
    </xf>
    <xf numFmtId="0" fontId="7" fillId="14" borderId="0" xfId="0" applyFont="1" applyFill="1" applyAlignment="1">
      <alignment horizontal="center" vertical="top"/>
    </xf>
    <xf numFmtId="0" fontId="8" fillId="14" borderId="0" xfId="0" applyFont="1" applyFill="1" applyAlignment="1">
      <alignment horizontal="left" vertical="top"/>
    </xf>
    <xf numFmtId="14" fontId="8" fillId="14" borderId="0" xfId="0" applyNumberFormat="1" applyFont="1" applyFill="1" applyAlignment="1">
      <alignment horizontal="right" vertical="top"/>
    </xf>
    <xf numFmtId="0" fontId="4" fillId="8" borderId="0" xfId="0" applyFont="1" applyFill="1" applyAlignment="1">
      <alignment horizontal="right" vertical="top"/>
    </xf>
    <xf numFmtId="0" fontId="8" fillId="14" borderId="0" xfId="0" applyFont="1" applyFill="1" applyAlignment="1">
      <alignment horizontal="right" vertical="top"/>
    </xf>
    <xf numFmtId="0" fontId="7" fillId="15" borderId="0" xfId="0" applyFont="1" applyFill="1" applyAlignment="1">
      <alignment horizontal="center" vertical="top"/>
    </xf>
    <xf numFmtId="0" fontId="8" fillId="15" borderId="0" xfId="0" applyFont="1" applyFill="1" applyAlignment="1">
      <alignment horizontal="left" vertical="top"/>
    </xf>
    <xf numFmtId="0" fontId="8" fillId="15" borderId="0" xfId="0" applyFont="1" applyFill="1" applyAlignment="1">
      <alignment horizontal="right" vertical="top"/>
    </xf>
    <xf numFmtId="14" fontId="8" fillId="15" borderId="0" xfId="0" applyNumberFormat="1" applyFont="1" applyFill="1" applyAlignment="1">
      <alignment horizontal="right" vertical="top"/>
    </xf>
    <xf numFmtId="0" fontId="16" fillId="0" borderId="0" xfId="0" applyFont="1" applyAlignment="1">
      <alignment horizontal="left" vertical="top"/>
    </xf>
    <xf numFmtId="0" fontId="16" fillId="0" borderId="0" xfId="0" applyFont="1" applyAlignment="1">
      <alignment horizontal="right" vertical="top"/>
    </xf>
    <xf numFmtId="14" fontId="16" fillId="0" borderId="0" xfId="0" applyNumberFormat="1" applyFont="1" applyAlignment="1">
      <alignment horizontal="right" vertical="top"/>
    </xf>
    <xf numFmtId="0" fontId="6" fillId="8" borderId="0" xfId="0" applyFont="1" applyFill="1" applyAlignment="1">
      <alignment horizontal="center" vertical="top"/>
    </xf>
    <xf numFmtId="14" fontId="8" fillId="5" borderId="0" xfId="0" applyNumberFormat="1" applyFont="1" applyFill="1" applyAlignment="1">
      <alignment vertical="top" wrapText="1"/>
    </xf>
    <xf numFmtId="14" fontId="12" fillId="5" borderId="0" xfId="0" applyNumberFormat="1" applyFont="1" applyFill="1" applyAlignment="1">
      <alignment vertical="top" wrapText="1"/>
    </xf>
    <xf numFmtId="14" fontId="4" fillId="8" borderId="0" xfId="0" applyNumberFormat="1" applyFont="1" applyFill="1" applyAlignment="1">
      <alignment vertical="top" wrapText="1"/>
    </xf>
    <xf numFmtId="14" fontId="7" fillId="13" borderId="0" xfId="0" applyNumberFormat="1" applyFont="1" applyFill="1" applyAlignment="1">
      <alignment vertical="top" wrapText="1"/>
    </xf>
    <xf numFmtId="0" fontId="8" fillId="14" borderId="0" xfId="0" applyFont="1" applyFill="1" applyAlignment="1">
      <alignment vertical="top" wrapText="1"/>
    </xf>
    <xf numFmtId="0" fontId="4" fillId="8" borderId="0" xfId="0" applyFont="1" applyFill="1" applyAlignment="1">
      <alignment horizontal="left" vertical="top" wrapText="1"/>
    </xf>
    <xf numFmtId="0" fontId="8" fillId="14" borderId="0" xfId="0" applyFont="1" applyFill="1" applyAlignment="1">
      <alignment horizontal="left" vertical="top" wrapText="1"/>
    </xf>
    <xf numFmtId="0" fontId="8" fillId="15" borderId="0" xfId="0" applyFont="1" applyFill="1" applyAlignment="1">
      <alignment horizontal="left" vertical="top" wrapText="1"/>
    </xf>
    <xf numFmtId="0" fontId="16" fillId="0" borderId="0" xfId="0" applyFont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2" fillId="0" borderId="0" xfId="0" applyFont="1"/>
    <xf numFmtId="0" fontId="17" fillId="0" borderId="0" xfId="0" applyFont="1"/>
    <xf numFmtId="0" fontId="18" fillId="6" borderId="0" xfId="0" applyFont="1" applyFill="1"/>
    <xf numFmtId="0" fontId="18" fillId="6" borderId="1" xfId="0" applyFont="1" applyFill="1" applyBorder="1"/>
    <xf numFmtId="0" fontId="2" fillId="12" borderId="0" xfId="0" applyFont="1" applyFill="1"/>
    <xf numFmtId="16" fontId="7" fillId="6" borderId="0" xfId="0" applyNumberFormat="1" applyFont="1" applyFill="1" applyAlignment="1">
      <alignment horizontal="right"/>
    </xf>
    <xf numFmtId="0" fontId="7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6" fontId="0" fillId="0" borderId="0" xfId="0" applyNumberFormat="1" applyAlignment="1">
      <alignment horizontal="right"/>
    </xf>
    <xf numFmtId="0" fontId="0" fillId="12" borderId="0" xfId="0" applyFill="1"/>
    <xf numFmtId="0" fontId="0" fillId="12" borderId="0" xfId="0" applyFill="1" applyAlignment="1">
      <alignment horizontal="right"/>
    </xf>
    <xf numFmtId="0" fontId="1" fillId="12" borderId="0" xfId="0" applyFont="1" applyFill="1"/>
    <xf numFmtId="0" fontId="20" fillId="12" borderId="0" xfId="0" applyFont="1" applyFill="1" applyAlignment="1">
      <alignment horizontal="center"/>
    </xf>
    <xf numFmtId="49" fontId="18" fillId="6" borderId="1" xfId="0" applyNumberFormat="1" applyFont="1" applyFill="1" applyBorder="1" applyAlignment="1">
      <alignment wrapText="1"/>
    </xf>
    <xf numFmtId="0" fontId="3" fillId="0" borderId="0" xfId="0" applyFont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pprsar.com/cosme/commj_v2.php" TargetMode="External"/><Relationship Id="rId2" Type="http://schemas.openxmlformats.org/officeDocument/2006/relationships/hyperlink" Target="http://pprsar.com/cosme/commj_v2.php" TargetMode="External"/><Relationship Id="rId1" Type="http://schemas.openxmlformats.org/officeDocument/2006/relationships/hyperlink" Target="http://pprsar.com/cosme/commj_v2.php" TargetMode="External"/><Relationship Id="rId5" Type="http://schemas.openxmlformats.org/officeDocument/2006/relationships/hyperlink" Target="http://dtaamerica.com/ws/commj_v2.php" TargetMode="External"/><Relationship Id="rId4" Type="http://schemas.openxmlformats.org/officeDocument/2006/relationships/hyperlink" Target="http://dtaamerica.com/ws/commj_v2.php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://dtaamerica.com/ws/sensor_v1.php" TargetMode="External"/><Relationship Id="rId1" Type="http://schemas.openxmlformats.org/officeDocument/2006/relationships/hyperlink" Target="http://dtaamerica.com/ws/sensor_v1.php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zoomScale="115" zoomScaleNormal="115" workbookViewId="0">
      <pane xSplit="3" ySplit="2" topLeftCell="J8" activePane="bottomRight" state="frozen"/>
      <selection pane="topRight"/>
      <selection pane="bottomLeft"/>
      <selection pane="bottomRight" activeCell="A4" sqref="A4:XFD4"/>
    </sheetView>
  </sheetViews>
  <sheetFormatPr baseColWidth="10" defaultColWidth="11.42578125" defaultRowHeight="15"/>
  <cols>
    <col min="1" max="1" width="5.140625" style="92" customWidth="1"/>
    <col min="2" max="2" width="22.42578125" style="92" customWidth="1"/>
    <col min="3" max="3" width="15.28515625" style="92" customWidth="1"/>
    <col min="4" max="4" width="17.140625" style="92" customWidth="1"/>
    <col min="5" max="5" width="10" style="92" customWidth="1"/>
    <col min="6" max="6" width="6.85546875" style="92" customWidth="1"/>
    <col min="7" max="7" width="7.42578125" style="92" customWidth="1"/>
    <col min="8" max="8" width="8.42578125" style="92" customWidth="1"/>
    <col min="9" max="9" width="31.42578125" style="92" customWidth="1"/>
    <col min="10" max="10" width="19.42578125" style="92" customWidth="1"/>
    <col min="11" max="11" width="37.85546875" style="92" customWidth="1"/>
    <col min="12" max="12" width="15.42578125" style="92" customWidth="1"/>
    <col min="13" max="13" width="20.42578125" style="92" customWidth="1"/>
    <col min="14" max="14" width="10.85546875" style="92" customWidth="1"/>
    <col min="15" max="15" width="26.140625" style="92" customWidth="1"/>
    <col min="16" max="17" width="19.140625" style="92" customWidth="1"/>
    <col min="18" max="18" width="60.42578125" style="93" customWidth="1"/>
    <col min="19" max="26" width="12.140625" style="49" customWidth="1"/>
    <col min="27" max="16384" width="11.42578125" style="92"/>
  </cols>
  <sheetData>
    <row r="1" spans="1:26">
      <c r="R1" s="171" t="s">
        <v>0</v>
      </c>
      <c r="S1" s="171"/>
      <c r="T1" s="171"/>
      <c r="U1" s="171"/>
      <c r="V1" s="171"/>
      <c r="W1" s="171"/>
      <c r="X1" s="171"/>
      <c r="Y1" s="171"/>
      <c r="Z1" s="171"/>
    </row>
    <row r="2" spans="1:26" s="37" customFormat="1">
      <c r="A2" s="37" t="s">
        <v>1</v>
      </c>
      <c r="B2" s="61" t="s">
        <v>2</v>
      </c>
      <c r="C2" s="61" t="s">
        <v>3</v>
      </c>
      <c r="D2" s="37" t="s">
        <v>4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  <c r="J2" s="37" t="s">
        <v>10</v>
      </c>
      <c r="K2" s="37" t="s">
        <v>11</v>
      </c>
      <c r="L2" s="37" t="s">
        <v>12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17</v>
      </c>
      <c r="R2" s="61" t="s">
        <v>16</v>
      </c>
      <c r="S2" s="37">
        <v>1</v>
      </c>
      <c r="T2" s="37">
        <v>2</v>
      </c>
      <c r="U2" s="37">
        <v>3</v>
      </c>
      <c r="V2" s="37">
        <v>4</v>
      </c>
      <c r="W2" s="37">
        <v>5</v>
      </c>
      <c r="X2" s="37">
        <v>6</v>
      </c>
      <c r="Y2" s="37">
        <v>7</v>
      </c>
      <c r="Z2" s="37">
        <v>8</v>
      </c>
    </row>
    <row r="3" spans="1:26" s="59" customFormat="1">
      <c r="A3" s="58">
        <v>1</v>
      </c>
      <c r="B3" s="94" t="s">
        <v>18</v>
      </c>
      <c r="C3" s="95">
        <v>526251106286</v>
      </c>
      <c r="D3" s="96" t="s">
        <v>19</v>
      </c>
      <c r="E3" s="96" t="s">
        <v>20</v>
      </c>
      <c r="F3" s="96" t="s">
        <v>21</v>
      </c>
      <c r="G3" s="96">
        <v>1211</v>
      </c>
      <c r="H3" s="96"/>
      <c r="I3" s="96"/>
      <c r="J3" s="96" t="s">
        <v>22</v>
      </c>
      <c r="K3" s="118" t="s">
        <v>23</v>
      </c>
      <c r="L3" s="58" t="s">
        <v>24</v>
      </c>
      <c r="M3" s="58" t="s">
        <v>25</v>
      </c>
      <c r="N3" s="58" t="s">
        <v>26</v>
      </c>
      <c r="O3" s="119" t="s">
        <v>27</v>
      </c>
      <c r="P3" s="120">
        <v>43872</v>
      </c>
      <c r="Q3" s="58" t="s">
        <v>28</v>
      </c>
      <c r="R3" s="83" t="s">
        <v>29</v>
      </c>
      <c r="S3" s="68"/>
      <c r="T3" s="68"/>
      <c r="U3" s="68"/>
      <c r="V3" s="68"/>
      <c r="W3" s="68"/>
      <c r="X3" s="68"/>
      <c r="Y3" s="68"/>
      <c r="Z3" s="68"/>
    </row>
    <row r="4" spans="1:26" s="85" customFormat="1" ht="30">
      <c r="A4" s="85">
        <v>2</v>
      </c>
      <c r="B4" s="97" t="s">
        <v>30</v>
      </c>
      <c r="C4" s="98">
        <v>526251271378</v>
      </c>
      <c r="D4" s="99" t="s">
        <v>31</v>
      </c>
      <c r="E4" s="99" t="s">
        <v>32</v>
      </c>
      <c r="F4" s="99" t="s">
        <v>21</v>
      </c>
      <c r="G4" s="99">
        <v>1211</v>
      </c>
      <c r="H4" s="99"/>
      <c r="I4" s="99" t="s">
        <v>33</v>
      </c>
      <c r="J4" s="99" t="s">
        <v>34</v>
      </c>
      <c r="K4" s="121" t="s">
        <v>23</v>
      </c>
      <c r="L4" s="85" t="s">
        <v>35</v>
      </c>
      <c r="M4" s="85" t="s">
        <v>36</v>
      </c>
      <c r="N4" s="85" t="s">
        <v>26</v>
      </c>
      <c r="O4" s="122" t="s">
        <v>37</v>
      </c>
      <c r="P4" s="123">
        <v>44603</v>
      </c>
      <c r="Q4" s="85" t="s">
        <v>28</v>
      </c>
      <c r="R4" s="146" t="s">
        <v>38</v>
      </c>
      <c r="S4" s="99"/>
      <c r="T4" s="99"/>
      <c r="U4" s="99"/>
      <c r="V4" s="99"/>
      <c r="W4" s="99"/>
      <c r="X4" s="99"/>
      <c r="Y4" s="99"/>
      <c r="Z4" s="99"/>
    </row>
    <row r="5" spans="1:26" s="59" customFormat="1" ht="30">
      <c r="A5" s="59">
        <v>3</v>
      </c>
      <c r="B5" s="66" t="s">
        <v>39</v>
      </c>
      <c r="C5" s="100">
        <v>526251024489</v>
      </c>
      <c r="D5" s="68" t="s">
        <v>40</v>
      </c>
      <c r="E5" s="68" t="s">
        <v>41</v>
      </c>
      <c r="F5" s="68" t="s">
        <v>21</v>
      </c>
      <c r="G5" s="68">
        <v>1211</v>
      </c>
      <c r="H5" s="68"/>
      <c r="I5" s="68" t="s">
        <v>42</v>
      </c>
      <c r="J5" s="68" t="s">
        <v>34</v>
      </c>
      <c r="K5" s="124" t="s">
        <v>23</v>
      </c>
      <c r="L5" s="59" t="s">
        <v>35</v>
      </c>
      <c r="M5" s="59" t="s">
        <v>43</v>
      </c>
      <c r="N5" s="59" t="s">
        <v>26</v>
      </c>
      <c r="O5" s="125" t="s">
        <v>44</v>
      </c>
      <c r="P5" s="126">
        <v>44603</v>
      </c>
      <c r="Q5" s="59" t="s">
        <v>28</v>
      </c>
      <c r="R5" s="147" t="s">
        <v>38</v>
      </c>
      <c r="S5" s="68"/>
      <c r="T5" s="68"/>
      <c r="U5" s="68"/>
      <c r="V5" s="68"/>
      <c r="W5" s="68"/>
      <c r="X5" s="68"/>
      <c r="Y5" s="68"/>
      <c r="Z5" s="68"/>
    </row>
    <row r="6" spans="1:26" s="59" customFormat="1">
      <c r="A6" s="59">
        <v>4</v>
      </c>
      <c r="B6" s="66" t="s">
        <v>45</v>
      </c>
      <c r="C6" s="100">
        <v>526251452797</v>
      </c>
      <c r="D6" s="68" t="s">
        <v>40</v>
      </c>
      <c r="E6" s="68" t="s">
        <v>41</v>
      </c>
      <c r="F6" s="68" t="s">
        <v>21</v>
      </c>
      <c r="G6" s="68">
        <v>1211</v>
      </c>
      <c r="H6" s="68"/>
      <c r="I6" s="68" t="s">
        <v>46</v>
      </c>
      <c r="J6" s="68" t="s">
        <v>34</v>
      </c>
      <c r="K6" s="124" t="s">
        <v>23</v>
      </c>
      <c r="L6" s="59" t="s">
        <v>35</v>
      </c>
      <c r="M6" s="59" t="s">
        <v>47</v>
      </c>
      <c r="N6" s="59" t="s">
        <v>26</v>
      </c>
      <c r="O6" s="125" t="s">
        <v>48</v>
      </c>
      <c r="P6" s="126">
        <v>44603</v>
      </c>
      <c r="Q6" s="59" t="s">
        <v>28</v>
      </c>
      <c r="R6" s="147" t="s">
        <v>49</v>
      </c>
      <c r="S6" s="68"/>
      <c r="T6" s="68"/>
      <c r="U6" s="68"/>
      <c r="V6" s="68"/>
      <c r="W6" s="68"/>
      <c r="X6" s="68"/>
      <c r="Y6" s="68"/>
      <c r="Z6" s="68"/>
    </row>
    <row r="7" spans="1:26" s="59" customFormat="1">
      <c r="A7" s="59">
        <v>5</v>
      </c>
      <c r="B7" s="66" t="s">
        <v>50</v>
      </c>
      <c r="C7" s="100">
        <v>526255917395</v>
      </c>
      <c r="D7" s="68" t="s">
        <v>40</v>
      </c>
      <c r="E7" s="68" t="s">
        <v>41</v>
      </c>
      <c r="F7" s="68" t="s">
        <v>21</v>
      </c>
      <c r="G7" s="68">
        <v>1211</v>
      </c>
      <c r="H7" s="68"/>
      <c r="I7" s="68" t="s">
        <v>51</v>
      </c>
      <c r="J7" s="68" t="s">
        <v>34</v>
      </c>
      <c r="K7" s="124" t="s">
        <v>23</v>
      </c>
      <c r="L7" s="59" t="s">
        <v>35</v>
      </c>
      <c r="M7" s="59" t="s">
        <v>52</v>
      </c>
      <c r="N7" s="59" t="s">
        <v>53</v>
      </c>
      <c r="O7" s="125" t="s">
        <v>54</v>
      </c>
      <c r="P7" s="126">
        <v>44603</v>
      </c>
      <c r="Q7" s="59" t="s">
        <v>28</v>
      </c>
      <c r="R7" s="147" t="s">
        <v>49</v>
      </c>
      <c r="S7" s="68"/>
      <c r="T7" s="68"/>
      <c r="U7" s="68"/>
      <c r="V7" s="68"/>
      <c r="W7" s="68"/>
      <c r="X7" s="68"/>
      <c r="Y7" s="68"/>
      <c r="Z7" s="68"/>
    </row>
    <row r="8" spans="1:26" s="59" customFormat="1">
      <c r="A8" s="59" t="s">
        <v>55</v>
      </c>
      <c r="B8" s="66" t="s">
        <v>56</v>
      </c>
      <c r="C8" s="100">
        <v>526251193016</v>
      </c>
      <c r="D8" s="68" t="s">
        <v>40</v>
      </c>
      <c r="E8" s="68" t="s">
        <v>41</v>
      </c>
      <c r="F8" s="68" t="s">
        <v>21</v>
      </c>
      <c r="G8" s="68">
        <v>1211</v>
      </c>
      <c r="H8" s="68"/>
      <c r="I8" s="68" t="s">
        <v>57</v>
      </c>
      <c r="J8" s="68" t="s">
        <v>34</v>
      </c>
      <c r="K8" s="124" t="s">
        <v>23</v>
      </c>
      <c r="L8" s="59" t="s">
        <v>35</v>
      </c>
      <c r="M8" s="59" t="s">
        <v>58</v>
      </c>
      <c r="N8" s="59" t="s">
        <v>59</v>
      </c>
      <c r="O8" s="125" t="s">
        <v>60</v>
      </c>
      <c r="P8" s="126">
        <v>44603</v>
      </c>
      <c r="Q8" s="59" t="s">
        <v>28</v>
      </c>
      <c r="R8" s="147" t="s">
        <v>49</v>
      </c>
      <c r="S8" s="68"/>
      <c r="T8" s="68"/>
      <c r="U8" s="68"/>
      <c r="V8" s="68"/>
      <c r="W8" s="68"/>
      <c r="X8" s="68"/>
      <c r="Y8" s="68"/>
      <c r="Z8" s="68"/>
    </row>
    <row r="9" spans="1:26" s="86" customFormat="1">
      <c r="A9" s="86">
        <v>7</v>
      </c>
      <c r="B9" s="101" t="s">
        <v>61</v>
      </c>
      <c r="C9" s="102">
        <v>526251342314</v>
      </c>
      <c r="D9" s="103" t="s">
        <v>62</v>
      </c>
      <c r="E9" s="103" t="s">
        <v>63</v>
      </c>
      <c r="F9" s="103" t="s">
        <v>21</v>
      </c>
      <c r="G9" s="103">
        <v>1211</v>
      </c>
      <c r="H9" s="103" t="s">
        <v>64</v>
      </c>
      <c r="I9" s="103" t="s">
        <v>65</v>
      </c>
      <c r="J9" s="103" t="s">
        <v>34</v>
      </c>
      <c r="K9" s="127" t="s">
        <v>23</v>
      </c>
      <c r="L9" s="86" t="s">
        <v>66</v>
      </c>
      <c r="M9" s="86" t="s">
        <v>67</v>
      </c>
      <c r="N9" s="86" t="s">
        <v>68</v>
      </c>
      <c r="O9" s="128" t="s">
        <v>69</v>
      </c>
      <c r="P9" s="129">
        <v>44603</v>
      </c>
      <c r="Q9" s="86" t="s">
        <v>28</v>
      </c>
      <c r="R9" s="148" t="s">
        <v>70</v>
      </c>
    </row>
    <row r="10" spans="1:26" s="87" customFormat="1">
      <c r="A10" s="87">
        <v>8</v>
      </c>
      <c r="B10" s="104" t="s">
        <v>71</v>
      </c>
      <c r="C10" s="105">
        <v>526251201079</v>
      </c>
      <c r="D10" s="106" t="s">
        <v>62</v>
      </c>
      <c r="E10" s="106" t="s">
        <v>72</v>
      </c>
      <c r="F10" s="106" t="s">
        <v>73</v>
      </c>
      <c r="G10" s="106">
        <v>1211</v>
      </c>
      <c r="H10" s="106" t="s">
        <v>64</v>
      </c>
      <c r="I10" s="106" t="s">
        <v>74</v>
      </c>
      <c r="J10" s="106" t="s">
        <v>75</v>
      </c>
      <c r="K10" s="130" t="s">
        <v>23</v>
      </c>
      <c r="L10" s="87" t="s">
        <v>76</v>
      </c>
      <c r="M10" s="87" t="s">
        <v>77</v>
      </c>
      <c r="O10" s="131" t="s">
        <v>78</v>
      </c>
      <c r="P10" s="132">
        <v>44384</v>
      </c>
      <c r="Q10" s="87" t="s">
        <v>28</v>
      </c>
      <c r="R10" s="149" t="s">
        <v>79</v>
      </c>
      <c r="S10" s="106"/>
      <c r="T10" s="106"/>
      <c r="U10" s="106"/>
      <c r="V10" s="106"/>
      <c r="W10" s="106"/>
      <c r="X10" s="106"/>
      <c r="Y10" s="106"/>
      <c r="Z10" s="106"/>
    </row>
    <row r="11" spans="1:26" s="88" customFormat="1">
      <c r="A11" s="88">
        <v>9</v>
      </c>
      <c r="B11" s="107" t="s">
        <v>80</v>
      </c>
      <c r="C11" s="108">
        <v>526251020232</v>
      </c>
      <c r="D11" s="109" t="s">
        <v>81</v>
      </c>
      <c r="E11" s="109" t="s">
        <v>63</v>
      </c>
      <c r="F11" s="109" t="s">
        <v>21</v>
      </c>
      <c r="G11" s="109">
        <v>1312</v>
      </c>
      <c r="H11" s="109" t="s">
        <v>64</v>
      </c>
      <c r="I11" s="109" t="s">
        <v>82</v>
      </c>
      <c r="J11" s="133" t="s">
        <v>34</v>
      </c>
      <c r="K11" s="134" t="s">
        <v>23</v>
      </c>
      <c r="L11" s="134" t="s">
        <v>83</v>
      </c>
      <c r="M11" s="134" t="s">
        <v>84</v>
      </c>
      <c r="N11" s="134" t="s">
        <v>85</v>
      </c>
      <c r="O11" s="135" t="s">
        <v>86</v>
      </c>
      <c r="P11" s="135">
        <v>44646</v>
      </c>
      <c r="R11" s="150"/>
      <c r="S11" s="109"/>
      <c r="T11" s="109"/>
      <c r="U11" s="109"/>
      <c r="V11" s="109"/>
      <c r="W11" s="109"/>
      <c r="X11" s="109"/>
      <c r="Y11" s="109"/>
      <c r="Z11" s="109"/>
    </row>
    <row r="12" spans="1:26" s="86" customFormat="1">
      <c r="A12" s="86">
        <v>10</v>
      </c>
      <c r="B12" s="101" t="s">
        <v>87</v>
      </c>
      <c r="C12" s="102">
        <v>526251531996</v>
      </c>
      <c r="D12" s="103" t="s">
        <v>62</v>
      </c>
      <c r="E12" s="103" t="s">
        <v>63</v>
      </c>
      <c r="F12" s="103" t="s">
        <v>21</v>
      </c>
      <c r="G12" s="103">
        <v>1211</v>
      </c>
      <c r="H12" s="103" t="s">
        <v>64</v>
      </c>
      <c r="I12" s="103" t="s">
        <v>88</v>
      </c>
      <c r="J12" s="103" t="s">
        <v>34</v>
      </c>
      <c r="K12" s="127" t="s">
        <v>23</v>
      </c>
      <c r="L12" s="127" t="s">
        <v>83</v>
      </c>
      <c r="M12" s="127" t="s">
        <v>89</v>
      </c>
      <c r="N12" s="127" t="s">
        <v>26</v>
      </c>
      <c r="O12" s="136" t="s">
        <v>90</v>
      </c>
      <c r="P12" s="128">
        <v>44646</v>
      </c>
      <c r="Q12" s="127"/>
      <c r="R12" s="151" t="s">
        <v>91</v>
      </c>
      <c r="S12" s="103" t="s">
        <v>92</v>
      </c>
      <c r="T12" s="103" t="s">
        <v>92</v>
      </c>
      <c r="U12" s="103" t="s">
        <v>92</v>
      </c>
      <c r="V12" s="103" t="s">
        <v>92</v>
      </c>
      <c r="W12" s="103" t="s">
        <v>92</v>
      </c>
      <c r="X12" s="103" t="s">
        <v>92</v>
      </c>
      <c r="Y12" s="103" t="s">
        <v>93</v>
      </c>
      <c r="Z12" s="103" t="s">
        <v>92</v>
      </c>
    </row>
    <row r="13" spans="1:26" s="59" customFormat="1">
      <c r="A13" s="59">
        <v>11</v>
      </c>
      <c r="B13" s="66" t="s">
        <v>94</v>
      </c>
      <c r="C13" s="100">
        <v>526258372598</v>
      </c>
      <c r="D13" s="68" t="s">
        <v>62</v>
      </c>
      <c r="E13" s="68" t="s">
        <v>63</v>
      </c>
      <c r="F13" s="68" t="s">
        <v>21</v>
      </c>
      <c r="G13" s="68">
        <v>1211</v>
      </c>
      <c r="H13" s="68" t="s">
        <v>64</v>
      </c>
      <c r="I13" s="68" t="s">
        <v>95</v>
      </c>
      <c r="J13" s="68" t="s">
        <v>96</v>
      </c>
      <c r="K13" s="124" t="s">
        <v>23</v>
      </c>
      <c r="L13" s="124" t="s">
        <v>83</v>
      </c>
      <c r="M13" s="124" t="s">
        <v>97</v>
      </c>
      <c r="N13" s="124" t="s">
        <v>85</v>
      </c>
      <c r="O13" s="77" t="s">
        <v>98</v>
      </c>
      <c r="P13" s="125">
        <v>44646</v>
      </c>
      <c r="Q13" s="124"/>
      <c r="R13" s="147"/>
      <c r="S13" s="68"/>
      <c r="T13" s="68"/>
      <c r="U13" s="68"/>
      <c r="V13" s="68"/>
      <c r="W13" s="68"/>
      <c r="X13" s="68"/>
      <c r="Y13" s="68"/>
      <c r="Z13" s="68"/>
    </row>
    <row r="14" spans="1:26" s="88" customFormat="1">
      <c r="A14" s="88">
        <v>13</v>
      </c>
      <c r="B14" s="107" t="s">
        <v>99</v>
      </c>
      <c r="C14" s="110">
        <v>526251037317</v>
      </c>
      <c r="D14" s="109" t="s">
        <v>81</v>
      </c>
      <c r="E14" s="109" t="s">
        <v>63</v>
      </c>
      <c r="F14" s="109" t="s">
        <v>21</v>
      </c>
      <c r="G14" s="109">
        <v>1312</v>
      </c>
      <c r="H14" s="109" t="s">
        <v>64</v>
      </c>
      <c r="I14" s="109" t="s">
        <v>100</v>
      </c>
      <c r="J14" s="109" t="s">
        <v>34</v>
      </c>
      <c r="K14" s="134" t="s">
        <v>23</v>
      </c>
      <c r="L14" s="134" t="s">
        <v>83</v>
      </c>
      <c r="M14" s="134" t="s">
        <v>101</v>
      </c>
      <c r="N14" s="134" t="s">
        <v>102</v>
      </c>
      <c r="O14" s="137" t="s">
        <v>103</v>
      </c>
      <c r="P14" s="135">
        <v>44646</v>
      </c>
      <c r="Q14" s="134"/>
      <c r="R14" s="152" t="s">
        <v>104</v>
      </c>
      <c r="S14" s="109"/>
      <c r="T14" s="109"/>
      <c r="U14" s="109"/>
      <c r="V14" s="109"/>
      <c r="W14" s="109"/>
      <c r="X14" s="109"/>
      <c r="Y14" s="109"/>
      <c r="Z14" s="109"/>
    </row>
    <row r="15" spans="1:26" s="89" customFormat="1" ht="48" customHeight="1">
      <c r="A15" s="111">
        <v>14</v>
      </c>
      <c r="B15" s="111" t="s">
        <v>105</v>
      </c>
      <c r="C15" s="112">
        <v>526251060168</v>
      </c>
      <c r="D15" s="113" t="s">
        <v>62</v>
      </c>
      <c r="E15" s="113" t="s">
        <v>63</v>
      </c>
      <c r="F15" s="113" t="s">
        <v>21</v>
      </c>
      <c r="G15" s="113">
        <v>1211</v>
      </c>
      <c r="H15" s="113" t="s">
        <v>64</v>
      </c>
      <c r="I15" s="113" t="s">
        <v>106</v>
      </c>
      <c r="J15" s="138" t="s">
        <v>34</v>
      </c>
      <c r="K15" s="139" t="s">
        <v>23</v>
      </c>
      <c r="L15" s="139" t="s">
        <v>83</v>
      </c>
      <c r="M15" s="89" t="s">
        <v>107</v>
      </c>
      <c r="N15" s="89" t="s">
        <v>26</v>
      </c>
      <c r="O15" s="140" t="s">
        <v>108</v>
      </c>
      <c r="P15" s="141">
        <v>44762</v>
      </c>
      <c r="Q15" s="139"/>
      <c r="R15" s="153" t="s">
        <v>109</v>
      </c>
      <c r="S15" s="113"/>
      <c r="T15" s="113"/>
      <c r="U15" s="113"/>
      <c r="V15" s="113"/>
      <c r="W15" s="113"/>
      <c r="X15" s="113"/>
      <c r="Y15" s="113"/>
      <c r="Z15" s="113"/>
    </row>
    <row r="16" spans="1:26" s="88" customFormat="1">
      <c r="A16" s="88">
        <v>15</v>
      </c>
      <c r="B16" s="107" t="s">
        <v>110</v>
      </c>
      <c r="C16" s="110">
        <v>526251059200</v>
      </c>
      <c r="D16" s="109" t="s">
        <v>111</v>
      </c>
      <c r="E16" s="109" t="s">
        <v>112</v>
      </c>
      <c r="F16" s="109" t="s">
        <v>21</v>
      </c>
      <c r="G16" s="109">
        <v>1211</v>
      </c>
      <c r="H16" s="109"/>
      <c r="I16" s="109" t="s">
        <v>113</v>
      </c>
      <c r="J16" s="109" t="s">
        <v>22</v>
      </c>
      <c r="K16" s="134" t="s">
        <v>23</v>
      </c>
      <c r="L16" s="134" t="s">
        <v>114</v>
      </c>
      <c r="M16" s="134" t="s">
        <v>115</v>
      </c>
      <c r="N16" s="134" t="s">
        <v>116</v>
      </c>
      <c r="O16" s="137" t="s">
        <v>117</v>
      </c>
      <c r="P16" s="135">
        <v>44647</v>
      </c>
      <c r="Q16" s="134"/>
      <c r="R16" s="150"/>
      <c r="S16" s="109"/>
      <c r="T16" s="109"/>
      <c r="U16" s="109"/>
      <c r="V16" s="109"/>
      <c r="W16" s="109"/>
      <c r="X16" s="109"/>
      <c r="Y16" s="109"/>
      <c r="Z16" s="109"/>
    </row>
    <row r="17" spans="1:26" s="90" customFormat="1">
      <c r="A17" s="90">
        <v>16</v>
      </c>
      <c r="B17" s="114" t="s">
        <v>118</v>
      </c>
      <c r="C17" s="115">
        <v>526251020790</v>
      </c>
      <c r="D17" s="116" t="s">
        <v>31</v>
      </c>
      <c r="E17" s="116" t="s">
        <v>32</v>
      </c>
      <c r="F17" s="116" t="s">
        <v>21</v>
      </c>
      <c r="G17" s="116">
        <v>1211</v>
      </c>
      <c r="H17" s="116"/>
      <c r="I17" s="116" t="s">
        <v>119</v>
      </c>
      <c r="J17" s="116" t="s">
        <v>22</v>
      </c>
      <c r="K17" s="142" t="s">
        <v>23</v>
      </c>
      <c r="L17" s="142" t="s">
        <v>114</v>
      </c>
      <c r="M17" s="142" t="s">
        <v>120</v>
      </c>
      <c r="N17" s="142" t="s">
        <v>116</v>
      </c>
      <c r="O17" s="143" t="s">
        <v>121</v>
      </c>
      <c r="P17" s="144">
        <v>44647</v>
      </c>
      <c r="R17" s="154"/>
      <c r="S17" s="116"/>
      <c r="T17" s="116"/>
      <c r="U17" s="116"/>
      <c r="V17" s="116"/>
      <c r="W17" s="116"/>
      <c r="X17" s="116"/>
      <c r="Y17" s="116"/>
      <c r="Z17" s="116"/>
    </row>
    <row r="18" spans="1:26" s="91" customFormat="1">
      <c r="A18" s="86">
        <v>17</v>
      </c>
      <c r="B18" s="101" t="s">
        <v>122</v>
      </c>
      <c r="C18" s="117">
        <v>526251020642</v>
      </c>
      <c r="D18" s="103" t="s">
        <v>62</v>
      </c>
      <c r="E18" s="103" t="s">
        <v>63</v>
      </c>
      <c r="F18" s="103" t="s">
        <v>73</v>
      </c>
      <c r="G18" s="103">
        <v>1211</v>
      </c>
      <c r="H18" s="103"/>
      <c r="I18" s="103" t="s">
        <v>123</v>
      </c>
      <c r="J18" s="145" t="s">
        <v>34</v>
      </c>
      <c r="K18" s="127" t="s">
        <v>23</v>
      </c>
      <c r="L18" s="86"/>
      <c r="M18" s="86"/>
      <c r="N18" s="86"/>
      <c r="O18" s="86"/>
      <c r="P18" s="86"/>
      <c r="Q18" s="86"/>
      <c r="R18" s="155"/>
      <c r="S18" s="103"/>
      <c r="T18" s="103"/>
      <c r="U18" s="103"/>
      <c r="V18" s="103"/>
      <c r="W18" s="103"/>
      <c r="X18" s="103"/>
      <c r="Y18" s="103"/>
      <c r="Z18" s="103"/>
    </row>
  </sheetData>
  <mergeCells count="1">
    <mergeCell ref="R1:Z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"/>
  <sheetViews>
    <sheetView topLeftCell="G1" zoomScale="130" zoomScaleNormal="130" workbookViewId="0">
      <selection activeCell="K3" sqref="J3:L6"/>
    </sheetView>
  </sheetViews>
  <sheetFormatPr baseColWidth="10" defaultColWidth="11.42578125" defaultRowHeight="15"/>
  <cols>
    <col min="1" max="1" width="5.140625" style="39" customWidth="1"/>
    <col min="2" max="2" width="23" style="39" customWidth="1"/>
    <col min="3" max="3" width="15.5703125" style="39" customWidth="1"/>
    <col min="4" max="4" width="17.140625" style="39" customWidth="1"/>
    <col min="5" max="5" width="10" style="39" customWidth="1"/>
    <col min="6" max="6" width="6.85546875" style="39" customWidth="1"/>
    <col min="7" max="7" width="24.42578125" style="39" customWidth="1"/>
    <col min="8" max="8" width="14" style="39" customWidth="1"/>
    <col min="9" max="9" width="39.42578125" style="39" customWidth="1"/>
    <col min="10" max="10" width="15.42578125" style="39" customWidth="1"/>
    <col min="11" max="11" width="20.5703125" style="39" customWidth="1"/>
    <col min="12" max="12" width="22.85546875" style="39" customWidth="1"/>
    <col min="13" max="13" width="11.85546875" style="39" customWidth="1"/>
    <col min="14" max="14" width="10.85546875" style="39" customWidth="1"/>
    <col min="15" max="15" width="10.42578125" style="39" customWidth="1"/>
    <col min="16" max="16" width="10.85546875" style="39" customWidth="1"/>
    <col min="17" max="17" width="10.42578125" style="39" customWidth="1"/>
    <col min="18" max="18" width="10.85546875" style="39" customWidth="1"/>
    <col min="19" max="19" width="10.42578125" style="39" customWidth="1"/>
    <col min="20" max="21" width="19.140625" style="39" customWidth="1"/>
    <col min="22" max="22" width="60.42578125" style="40" customWidth="1"/>
    <col min="23" max="16384" width="11.42578125" style="39"/>
  </cols>
  <sheetData>
    <row r="1" spans="1:30">
      <c r="V1" s="61" t="s">
        <v>0</v>
      </c>
    </row>
    <row r="2" spans="1:30" s="37" customFormat="1">
      <c r="A2" s="37" t="s">
        <v>1</v>
      </c>
      <c r="B2" s="61" t="s">
        <v>2</v>
      </c>
      <c r="C2" s="61" t="s">
        <v>3</v>
      </c>
      <c r="D2" s="37" t="s">
        <v>4</v>
      </c>
      <c r="E2" s="37" t="s">
        <v>5</v>
      </c>
      <c r="F2" s="37" t="s">
        <v>6</v>
      </c>
      <c r="G2" s="37" t="s">
        <v>9</v>
      </c>
      <c r="H2" s="37" t="s">
        <v>10</v>
      </c>
      <c r="I2" s="37" t="s">
        <v>11</v>
      </c>
      <c r="J2" s="37" t="s">
        <v>12</v>
      </c>
      <c r="K2" s="37" t="s">
        <v>13</v>
      </c>
      <c r="L2" s="37" t="s">
        <v>15</v>
      </c>
      <c r="M2" s="37" t="s">
        <v>124</v>
      </c>
      <c r="N2" s="37" t="s">
        <v>125</v>
      </c>
      <c r="O2" s="37" t="s">
        <v>126</v>
      </c>
      <c r="P2" s="37" t="s">
        <v>127</v>
      </c>
      <c r="Q2" s="37" t="s">
        <v>128</v>
      </c>
      <c r="R2" s="37" t="s">
        <v>129</v>
      </c>
      <c r="S2" s="37" t="s">
        <v>130</v>
      </c>
      <c r="T2" s="37" t="s">
        <v>16</v>
      </c>
      <c r="U2" s="37" t="s">
        <v>17</v>
      </c>
      <c r="V2" s="61" t="s">
        <v>16</v>
      </c>
    </row>
    <row r="3" spans="1:30" s="57" customFormat="1">
      <c r="A3" s="57">
        <v>1</v>
      </c>
      <c r="B3" s="62"/>
      <c r="C3" s="63"/>
      <c r="D3" s="64" t="s">
        <v>131</v>
      </c>
      <c r="E3" s="64" t="s">
        <v>132</v>
      </c>
      <c r="F3" s="64" t="s">
        <v>21</v>
      </c>
      <c r="G3" s="64" t="s">
        <v>133</v>
      </c>
      <c r="H3" s="65" t="s">
        <v>134</v>
      </c>
      <c r="I3" s="74" t="s">
        <v>135</v>
      </c>
      <c r="J3" s="57" t="s">
        <v>136</v>
      </c>
      <c r="K3" s="57" t="s">
        <v>137</v>
      </c>
      <c r="L3" s="75" t="s">
        <v>138</v>
      </c>
      <c r="M3" s="75"/>
      <c r="N3" s="75"/>
      <c r="O3" s="75"/>
      <c r="P3" s="75"/>
      <c r="Q3" s="75"/>
      <c r="R3" s="75"/>
      <c r="S3" s="75"/>
      <c r="T3" s="80">
        <v>44603</v>
      </c>
      <c r="U3" s="57" t="s">
        <v>28</v>
      </c>
      <c r="V3" s="81" t="s">
        <v>139</v>
      </c>
    </row>
    <row r="4" spans="1:30" s="38" customFormat="1">
      <c r="A4" s="38">
        <v>2</v>
      </c>
      <c r="B4" s="50" t="s">
        <v>140</v>
      </c>
      <c r="C4" s="51">
        <v>526251020596</v>
      </c>
      <c r="D4" s="37" t="s">
        <v>141</v>
      </c>
      <c r="E4" s="37" t="s">
        <v>132</v>
      </c>
      <c r="F4" s="37" t="s">
        <v>21</v>
      </c>
      <c r="G4" s="37" t="s">
        <v>142</v>
      </c>
      <c r="H4" s="37" t="s">
        <v>143</v>
      </c>
      <c r="I4" s="46" t="s">
        <v>135</v>
      </c>
      <c r="J4" s="38" t="s">
        <v>144</v>
      </c>
      <c r="K4" s="38" t="s">
        <v>145</v>
      </c>
      <c r="L4" s="55" t="s">
        <v>146</v>
      </c>
      <c r="V4" s="56"/>
      <c r="W4" s="37"/>
      <c r="X4" s="37"/>
      <c r="Y4" s="37"/>
      <c r="Z4" s="37"/>
      <c r="AA4" s="37"/>
      <c r="AB4" s="37"/>
      <c r="AC4" s="37"/>
      <c r="AD4" s="37"/>
    </row>
    <row r="5" spans="1:30" s="58" customFormat="1">
      <c r="A5" s="59">
        <v>3</v>
      </c>
      <c r="B5" s="66" t="s">
        <v>147</v>
      </c>
      <c r="C5" s="67">
        <v>526251020266</v>
      </c>
      <c r="D5" s="68" t="s">
        <v>148</v>
      </c>
      <c r="E5" s="68" t="s">
        <v>132</v>
      </c>
      <c r="F5" s="68" t="s">
        <v>21</v>
      </c>
      <c r="G5" s="68" t="s">
        <v>149</v>
      </c>
      <c r="H5" s="68" t="s">
        <v>143</v>
      </c>
      <c r="I5" s="76" t="s">
        <v>135</v>
      </c>
      <c r="J5" s="59" t="s">
        <v>150</v>
      </c>
      <c r="K5" s="59" t="s">
        <v>151</v>
      </c>
      <c r="L5" s="77" t="s">
        <v>152</v>
      </c>
      <c r="V5" s="82"/>
    </row>
    <row r="6" spans="1:30" s="59" customFormat="1">
      <c r="B6" s="69" t="s">
        <v>153</v>
      </c>
      <c r="C6" s="70">
        <v>526251579804</v>
      </c>
      <c r="D6" s="68" t="s">
        <v>154</v>
      </c>
      <c r="E6" s="68" t="s">
        <v>132</v>
      </c>
      <c r="F6" s="68" t="s">
        <v>21</v>
      </c>
      <c r="G6" s="68" t="s">
        <v>155</v>
      </c>
      <c r="H6" s="68" t="s">
        <v>143</v>
      </c>
      <c r="I6" s="78" t="s">
        <v>156</v>
      </c>
      <c r="J6" s="59" t="s">
        <v>157</v>
      </c>
      <c r="K6" s="59" t="s">
        <v>158</v>
      </c>
      <c r="V6" s="83"/>
    </row>
    <row r="7" spans="1:30" s="60" customFormat="1">
      <c r="B7" s="71" t="s">
        <v>87</v>
      </c>
      <c r="C7" s="72">
        <v>526251531996</v>
      </c>
      <c r="D7" s="73" t="s">
        <v>159</v>
      </c>
      <c r="E7" s="73" t="s">
        <v>132</v>
      </c>
      <c r="F7" s="73" t="s">
        <v>21</v>
      </c>
      <c r="G7" s="73" t="s">
        <v>160</v>
      </c>
      <c r="H7" s="73" t="s">
        <v>143</v>
      </c>
      <c r="I7" s="79" t="s">
        <v>156</v>
      </c>
      <c r="J7" s="60" t="s">
        <v>157</v>
      </c>
      <c r="K7" s="60" t="s">
        <v>158</v>
      </c>
      <c r="V7" s="84"/>
    </row>
  </sheetData>
  <hyperlinks>
    <hyperlink ref="I3" r:id="rId1" xr:uid="{00000000-0004-0000-0100-000000000000}"/>
    <hyperlink ref="I4" r:id="rId2" xr:uid="{00000000-0004-0000-0100-000001000000}"/>
    <hyperlink ref="I5" r:id="rId3" xr:uid="{00000000-0004-0000-0100-000002000000}"/>
    <hyperlink ref="I6" r:id="rId4" xr:uid="{00000000-0004-0000-0100-000003000000}"/>
    <hyperlink ref="I7" r:id="rId5" xr:uid="{00000000-0004-0000-0100-000004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"/>
  <sheetViews>
    <sheetView topLeftCell="C1" workbookViewId="0">
      <selection activeCell="I3" sqref="I3:K3"/>
    </sheetView>
  </sheetViews>
  <sheetFormatPr baseColWidth="10" defaultColWidth="11.42578125" defaultRowHeight="15"/>
  <cols>
    <col min="1" max="1" width="5.140625" style="39" customWidth="1"/>
    <col min="2" max="2" width="20" style="39" customWidth="1"/>
    <col min="3" max="3" width="12.85546875" style="39" customWidth="1"/>
    <col min="4" max="4" width="17.140625" style="39" customWidth="1"/>
    <col min="5" max="5" width="10" style="39" customWidth="1"/>
    <col min="6" max="6" width="22.85546875" style="39" customWidth="1"/>
    <col min="7" max="7" width="16.140625" style="39" customWidth="1"/>
    <col min="8" max="8" width="36.5703125" style="39" customWidth="1"/>
    <col min="9" max="9" width="15.42578125" style="39" customWidth="1"/>
    <col min="10" max="10" width="17.42578125" style="39" customWidth="1"/>
    <col min="11" max="11" width="22.85546875" style="39" customWidth="1"/>
    <col min="12" max="13" width="10.42578125" style="39" customWidth="1"/>
    <col min="14" max="14" width="60.42578125" style="40" customWidth="1"/>
    <col min="15" max="16384" width="11.42578125" style="39"/>
  </cols>
  <sheetData>
    <row r="1" spans="1:22">
      <c r="N1" s="39"/>
    </row>
    <row r="2" spans="1:22" s="37" customFormat="1">
      <c r="A2" s="41" t="s">
        <v>1</v>
      </c>
      <c r="B2" s="42" t="s">
        <v>2</v>
      </c>
      <c r="C2" s="42" t="s">
        <v>3</v>
      </c>
      <c r="D2" s="41" t="s">
        <v>4</v>
      </c>
      <c r="E2" s="41" t="s">
        <v>5</v>
      </c>
      <c r="F2" s="41" t="s">
        <v>9</v>
      </c>
      <c r="G2" s="41" t="s">
        <v>10</v>
      </c>
      <c r="H2" s="41" t="s">
        <v>11</v>
      </c>
      <c r="I2" s="41" t="s">
        <v>12</v>
      </c>
      <c r="J2" s="41" t="s">
        <v>13</v>
      </c>
      <c r="K2" s="41" t="s">
        <v>15</v>
      </c>
      <c r="L2" s="41" t="s">
        <v>16</v>
      </c>
      <c r="M2" s="41" t="s">
        <v>17</v>
      </c>
      <c r="N2" s="42" t="s">
        <v>0</v>
      </c>
    </row>
    <row r="3" spans="1:22" ht="30">
      <c r="A3" s="39">
        <v>1</v>
      </c>
      <c r="B3" s="43" t="s">
        <v>161</v>
      </c>
      <c r="C3" s="44">
        <v>526251259145</v>
      </c>
      <c r="D3" s="45"/>
      <c r="E3" s="45"/>
      <c r="F3" s="45" t="s">
        <v>162</v>
      </c>
      <c r="G3" s="37" t="s">
        <v>163</v>
      </c>
      <c r="H3" s="46" t="s">
        <v>164</v>
      </c>
      <c r="I3" s="39" t="s">
        <v>165</v>
      </c>
      <c r="J3" s="39" t="s">
        <v>166</v>
      </c>
      <c r="K3" s="52" t="s">
        <v>167</v>
      </c>
      <c r="L3" s="53">
        <v>45388</v>
      </c>
      <c r="M3" s="53">
        <v>45753</v>
      </c>
      <c r="N3" s="54"/>
    </row>
    <row r="4" spans="1:22" s="38" customFormat="1" ht="30">
      <c r="B4" s="47" t="s">
        <v>105</v>
      </c>
      <c r="C4" s="48">
        <v>526251060168</v>
      </c>
      <c r="D4" s="37"/>
      <c r="E4" s="37"/>
      <c r="F4" s="49" t="s">
        <v>168</v>
      </c>
      <c r="G4" s="37" t="s">
        <v>163</v>
      </c>
      <c r="H4" s="46" t="s">
        <v>164</v>
      </c>
      <c r="I4" s="38" t="s">
        <v>169</v>
      </c>
      <c r="J4" s="38" t="s">
        <v>158</v>
      </c>
      <c r="K4" s="55"/>
      <c r="N4" s="56"/>
      <c r="O4" s="37"/>
      <c r="P4" s="37"/>
      <c r="Q4" s="37"/>
      <c r="R4" s="37"/>
      <c r="S4" s="37"/>
      <c r="T4" s="37"/>
      <c r="U4" s="37"/>
      <c r="V4" s="37"/>
    </row>
    <row r="5" spans="1:22">
      <c r="A5" s="38"/>
      <c r="B5" s="50"/>
      <c r="C5" s="51"/>
      <c r="D5" s="37"/>
      <c r="E5" s="37"/>
      <c r="F5" s="37"/>
      <c r="G5" s="37"/>
      <c r="H5" s="46"/>
      <c r="I5" s="38"/>
      <c r="J5" s="38"/>
      <c r="K5" s="55"/>
    </row>
  </sheetData>
  <hyperlinks>
    <hyperlink ref="H3" r:id="rId1" xr:uid="{00000000-0004-0000-0200-000000000000}"/>
    <hyperlink ref="H4" r:id="rId2" xr:uid="{00000000-0004-0000-0200-000001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6"/>
  <sheetViews>
    <sheetView tabSelected="1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K12" sqref="K12"/>
    </sheetView>
  </sheetViews>
  <sheetFormatPr baseColWidth="10" defaultColWidth="11.42578125" defaultRowHeight="15"/>
  <cols>
    <col min="1" max="1" width="19.85546875" bestFit="1" customWidth="1"/>
    <col min="2" max="2" width="12.85546875" bestFit="1" customWidth="1"/>
    <col min="3" max="3" width="8.85546875" bestFit="1" customWidth="1"/>
    <col min="4" max="4" width="5" bestFit="1" customWidth="1"/>
    <col min="5" max="5" width="36.85546875" customWidth="1"/>
    <col min="6" max="6" width="33.42578125" bestFit="1" customWidth="1"/>
    <col min="7" max="7" width="10.42578125" customWidth="1"/>
    <col min="8" max="8" width="7.85546875" customWidth="1"/>
    <col min="9" max="9" width="27.5703125" bestFit="1" customWidth="1"/>
    <col min="10" max="10" width="5" bestFit="1" customWidth="1"/>
    <col min="11" max="11" width="7.42578125" bestFit="1" customWidth="1"/>
    <col min="12" max="12" width="8.28515625" bestFit="1" customWidth="1"/>
    <col min="13" max="13" width="5.28515625" bestFit="1" customWidth="1"/>
    <col min="14" max="14" width="4.85546875" bestFit="1" customWidth="1"/>
  </cols>
  <sheetData>
    <row r="1" spans="1:14" ht="30">
      <c r="A1" s="22" t="s">
        <v>2</v>
      </c>
      <c r="B1" s="22" t="s">
        <v>3</v>
      </c>
      <c r="C1" s="22" t="s">
        <v>170</v>
      </c>
      <c r="D1" s="22" t="s">
        <v>171</v>
      </c>
      <c r="E1" s="22" t="s">
        <v>172</v>
      </c>
      <c r="F1" s="22" t="s">
        <v>173</v>
      </c>
      <c r="G1" s="22" t="s">
        <v>174</v>
      </c>
      <c r="H1" s="22" t="s">
        <v>175</v>
      </c>
      <c r="I1" s="22" t="s">
        <v>176</v>
      </c>
      <c r="J1" s="22" t="s">
        <v>213</v>
      </c>
      <c r="K1" s="22" t="s">
        <v>214</v>
      </c>
      <c r="L1" s="22" t="s">
        <v>217</v>
      </c>
      <c r="M1" s="22" t="s">
        <v>131</v>
      </c>
      <c r="N1" s="22" t="s">
        <v>216</v>
      </c>
    </row>
    <row r="2" spans="1:14" s="19" customFormat="1" ht="14.1" customHeight="1">
      <c r="A2" s="26" t="s">
        <v>87</v>
      </c>
      <c r="B2" s="27">
        <v>526251531996</v>
      </c>
      <c r="C2" s="28">
        <v>32845130</v>
      </c>
      <c r="D2" s="28">
        <v>18</v>
      </c>
      <c r="E2" s="28" t="s">
        <v>177</v>
      </c>
      <c r="F2" s="158" t="s">
        <v>221</v>
      </c>
      <c r="G2" s="158" t="s">
        <v>131</v>
      </c>
      <c r="H2" s="161">
        <v>45933</v>
      </c>
    </row>
    <row r="3" spans="1:14" s="19" customFormat="1" ht="14.1" customHeight="1">
      <c r="A3" s="26" t="s">
        <v>161</v>
      </c>
      <c r="B3" s="27">
        <v>526251259145</v>
      </c>
      <c r="C3" s="28">
        <v>32845134</v>
      </c>
      <c r="D3" s="28">
        <v>18</v>
      </c>
      <c r="E3" s="28" t="s">
        <v>177</v>
      </c>
      <c r="F3" s="19" t="s">
        <v>182</v>
      </c>
      <c r="G3" s="158" t="s">
        <v>222</v>
      </c>
      <c r="H3" s="161">
        <v>45904</v>
      </c>
    </row>
    <row r="4" spans="1:14" s="19" customFormat="1" ht="14.1" customHeight="1">
      <c r="A4" s="170" t="s">
        <v>236</v>
      </c>
      <c r="B4" s="35">
        <v>526251201079</v>
      </c>
      <c r="C4" s="36">
        <v>32848099</v>
      </c>
      <c r="D4" s="36">
        <v>32</v>
      </c>
      <c r="E4" s="36" t="s">
        <v>177</v>
      </c>
      <c r="F4" s="159" t="s">
        <v>223</v>
      </c>
      <c r="G4" s="159" t="s">
        <v>216</v>
      </c>
      <c r="H4" s="161">
        <v>45780</v>
      </c>
    </row>
    <row r="5" spans="1:14" s="19" customFormat="1" ht="14.1" customHeight="1">
      <c r="A5" s="19" t="s">
        <v>140</v>
      </c>
      <c r="B5" s="27">
        <v>526251020596</v>
      </c>
      <c r="E5" s="28" t="s">
        <v>177</v>
      </c>
      <c r="F5" s="158" t="s">
        <v>224</v>
      </c>
      <c r="G5" s="158" t="s">
        <v>131</v>
      </c>
      <c r="H5" s="162" t="s">
        <v>179</v>
      </c>
    </row>
    <row r="6" spans="1:14">
      <c r="H6" s="163"/>
    </row>
    <row r="7" spans="1:14">
      <c r="A7">
        <v>20333844254</v>
      </c>
      <c r="E7" t="s">
        <v>177</v>
      </c>
      <c r="F7" t="s">
        <v>191</v>
      </c>
      <c r="G7" s="156" t="s">
        <v>205</v>
      </c>
      <c r="H7" s="164" t="s">
        <v>178</v>
      </c>
    </row>
    <row r="8" spans="1:14">
      <c r="A8">
        <v>24430362948</v>
      </c>
      <c r="E8" t="s">
        <v>177</v>
      </c>
      <c r="H8" s="163"/>
      <c r="I8" s="160" t="s">
        <v>226</v>
      </c>
      <c r="J8">
        <v>5</v>
      </c>
    </row>
    <row r="9" spans="1:14">
      <c r="A9">
        <v>24530080316</v>
      </c>
      <c r="E9" t="s">
        <v>177</v>
      </c>
      <c r="F9" t="s">
        <v>192</v>
      </c>
      <c r="G9" s="156" t="s">
        <v>205</v>
      </c>
      <c r="H9" s="164" t="s">
        <v>178</v>
      </c>
      <c r="I9" s="156" t="s">
        <v>209</v>
      </c>
      <c r="J9">
        <v>2</v>
      </c>
    </row>
    <row r="10" spans="1:14">
      <c r="A10">
        <v>24530080324</v>
      </c>
      <c r="E10" t="s">
        <v>177</v>
      </c>
      <c r="F10" t="s">
        <v>193</v>
      </c>
      <c r="G10" s="156" t="s">
        <v>205</v>
      </c>
      <c r="H10" s="165">
        <v>45970</v>
      </c>
      <c r="I10" s="156" t="s">
        <v>212</v>
      </c>
    </row>
    <row r="11" spans="1:14">
      <c r="A11">
        <v>24530080332</v>
      </c>
      <c r="E11" t="s">
        <v>177</v>
      </c>
      <c r="F11" t="s">
        <v>194</v>
      </c>
      <c r="G11" s="156" t="s">
        <v>208</v>
      </c>
      <c r="H11" s="163"/>
      <c r="I11" s="168" t="s">
        <v>234</v>
      </c>
      <c r="J11">
        <v>6</v>
      </c>
      <c r="L11">
        <v>1</v>
      </c>
    </row>
    <row r="12" spans="1:14">
      <c r="A12">
        <v>24530080407</v>
      </c>
      <c r="E12" t="s">
        <v>177</v>
      </c>
      <c r="H12" s="163"/>
      <c r="I12" s="160" t="s">
        <v>233</v>
      </c>
      <c r="J12">
        <v>3</v>
      </c>
    </row>
    <row r="13" spans="1:14">
      <c r="A13">
        <v>24530080415</v>
      </c>
      <c r="E13" t="s">
        <v>177</v>
      </c>
      <c r="F13" t="s">
        <v>195</v>
      </c>
      <c r="G13" s="156" t="s">
        <v>207</v>
      </c>
      <c r="H13" s="163"/>
      <c r="I13" s="156" t="s">
        <v>211</v>
      </c>
      <c r="J13">
        <v>3</v>
      </c>
    </row>
    <row r="14" spans="1:14">
      <c r="A14">
        <v>24530080423</v>
      </c>
      <c r="E14" t="s">
        <v>177</v>
      </c>
      <c r="F14" s="156" t="s">
        <v>232</v>
      </c>
      <c r="G14" s="156" t="s">
        <v>206</v>
      </c>
      <c r="H14" s="163"/>
      <c r="I14" s="156" t="s">
        <v>211</v>
      </c>
      <c r="L14">
        <v>1</v>
      </c>
    </row>
    <row r="15" spans="1:14">
      <c r="A15">
        <v>24530080431</v>
      </c>
      <c r="E15" t="s">
        <v>177</v>
      </c>
      <c r="F15" s="156" t="s">
        <v>196</v>
      </c>
      <c r="G15" s="156" t="s">
        <v>207</v>
      </c>
      <c r="H15" s="163"/>
      <c r="I15" s="156" t="s">
        <v>219</v>
      </c>
      <c r="J15">
        <v>1</v>
      </c>
    </row>
    <row r="16" spans="1:14">
      <c r="A16">
        <v>24530080449</v>
      </c>
      <c r="E16" t="s">
        <v>177</v>
      </c>
      <c r="F16" t="s">
        <v>197</v>
      </c>
      <c r="G16" s="156" t="s">
        <v>205</v>
      </c>
      <c r="H16" s="163"/>
    </row>
    <row r="17" spans="1:14">
      <c r="A17">
        <v>24530080456</v>
      </c>
      <c r="E17" t="s">
        <v>177</v>
      </c>
      <c r="F17" t="s">
        <v>198</v>
      </c>
      <c r="G17" s="156" t="s">
        <v>205</v>
      </c>
      <c r="H17" s="164" t="s">
        <v>178</v>
      </c>
      <c r="I17" s="156" t="s">
        <v>210</v>
      </c>
      <c r="J17">
        <v>1</v>
      </c>
    </row>
    <row r="18" spans="1:14">
      <c r="A18">
        <v>24530094119</v>
      </c>
      <c r="E18" t="s">
        <v>177</v>
      </c>
      <c r="F18" t="s">
        <v>199</v>
      </c>
      <c r="G18" s="156" t="s">
        <v>205</v>
      </c>
      <c r="H18" s="163"/>
      <c r="I18" s="156" t="s">
        <v>215</v>
      </c>
      <c r="K18">
        <v>2</v>
      </c>
    </row>
    <row r="19" spans="1:14">
      <c r="A19">
        <v>24530094127</v>
      </c>
      <c r="E19" t="s">
        <v>177</v>
      </c>
      <c r="H19" s="163"/>
      <c r="I19" s="163"/>
      <c r="N19">
        <v>1</v>
      </c>
    </row>
    <row r="20" spans="1:14">
      <c r="A20" s="166">
        <v>24530094134</v>
      </c>
      <c r="B20" s="166"/>
      <c r="C20" s="166"/>
      <c r="D20" s="166"/>
      <c r="E20" s="166" t="s">
        <v>177</v>
      </c>
      <c r="F20" s="166"/>
      <c r="G20" s="166"/>
      <c r="H20" s="167"/>
      <c r="I20" s="169" t="s">
        <v>235</v>
      </c>
      <c r="J20" s="166"/>
      <c r="K20" s="166"/>
      <c r="L20" s="166"/>
      <c r="M20" s="166"/>
      <c r="N20" s="166">
        <v>1</v>
      </c>
    </row>
    <row r="21" spans="1:14">
      <c r="A21">
        <v>24530094135</v>
      </c>
      <c r="E21" t="s">
        <v>177</v>
      </c>
      <c r="F21" t="s">
        <v>200</v>
      </c>
      <c r="G21" s="156" t="s">
        <v>205</v>
      </c>
      <c r="H21" s="164" t="s">
        <v>178</v>
      </c>
      <c r="I21" s="156" t="s">
        <v>220</v>
      </c>
    </row>
    <row r="22" spans="1:14">
      <c r="A22">
        <v>24530094143</v>
      </c>
      <c r="E22" t="s">
        <v>177</v>
      </c>
      <c r="F22" s="156" t="s">
        <v>227</v>
      </c>
      <c r="G22" s="156" t="s">
        <v>208</v>
      </c>
      <c r="H22" s="164" t="s">
        <v>178</v>
      </c>
    </row>
    <row r="23" spans="1:14">
      <c r="A23">
        <v>24530094150</v>
      </c>
      <c r="E23" t="s">
        <v>177</v>
      </c>
      <c r="F23" s="156" t="s">
        <v>228</v>
      </c>
      <c r="G23" s="156" t="s">
        <v>208</v>
      </c>
      <c r="H23" s="164" t="s">
        <v>178</v>
      </c>
    </row>
    <row r="24" spans="1:14">
      <c r="A24">
        <v>24530094267</v>
      </c>
      <c r="E24" t="s">
        <v>177</v>
      </c>
      <c r="F24" t="s">
        <v>201</v>
      </c>
      <c r="G24" s="156" t="s">
        <v>205</v>
      </c>
      <c r="H24" s="165">
        <v>45912</v>
      </c>
    </row>
    <row r="25" spans="1:14">
      <c r="A25">
        <v>24530094275</v>
      </c>
      <c r="E25" t="s">
        <v>177</v>
      </c>
      <c r="F25" t="s">
        <v>202</v>
      </c>
      <c r="G25" s="156" t="s">
        <v>208</v>
      </c>
      <c r="H25" s="164" t="s">
        <v>178</v>
      </c>
      <c r="I25" s="156" t="s">
        <v>230</v>
      </c>
    </row>
    <row r="26" spans="1:14">
      <c r="A26">
        <v>24530094283</v>
      </c>
      <c r="E26" t="s">
        <v>177</v>
      </c>
      <c r="F26" t="s">
        <v>203</v>
      </c>
      <c r="G26" s="156" t="s">
        <v>205</v>
      </c>
      <c r="H26" s="164" t="s">
        <v>178</v>
      </c>
      <c r="I26" s="156" t="s">
        <v>229</v>
      </c>
      <c r="J26">
        <v>1</v>
      </c>
    </row>
    <row r="27" spans="1:14">
      <c r="A27">
        <v>24530094291</v>
      </c>
      <c r="E27" t="s">
        <v>177</v>
      </c>
      <c r="F27" s="156" t="s">
        <v>225</v>
      </c>
      <c r="G27" s="156" t="s">
        <v>206</v>
      </c>
      <c r="H27" s="164" t="s">
        <v>178</v>
      </c>
      <c r="I27" s="156" t="s">
        <v>230</v>
      </c>
    </row>
    <row r="28" spans="1:14">
      <c r="A28">
        <v>24530094309</v>
      </c>
      <c r="E28" t="s">
        <v>177</v>
      </c>
      <c r="F28" t="s">
        <v>204</v>
      </c>
      <c r="G28" s="156" t="s">
        <v>131</v>
      </c>
      <c r="H28" s="164" t="s">
        <v>178</v>
      </c>
      <c r="I28" s="156" t="s">
        <v>231</v>
      </c>
      <c r="M28">
        <v>1</v>
      </c>
    </row>
    <row r="30" spans="1:14">
      <c r="A30">
        <v>24330165126</v>
      </c>
      <c r="E30" t="s">
        <v>177</v>
      </c>
    </row>
    <row r="31" spans="1:14">
      <c r="I31" s="157" t="s">
        <v>218</v>
      </c>
      <c r="J31" s="157">
        <f>SUM(J2:J30)</f>
        <v>22</v>
      </c>
      <c r="K31" s="157">
        <f t="shared" ref="K31:M31" si="0">SUM(K2:K30)</f>
        <v>2</v>
      </c>
      <c r="L31" s="157">
        <f t="shared" si="0"/>
        <v>2</v>
      </c>
      <c r="M31" s="157">
        <f t="shared" si="0"/>
        <v>1</v>
      </c>
      <c r="N31" s="157">
        <f>SUM(N2:N30)</f>
        <v>2</v>
      </c>
    </row>
    <row r="32" spans="1:14">
      <c r="I32" s="156"/>
    </row>
    <row r="33" spans="9:9">
      <c r="I33" s="156"/>
    </row>
    <row r="35" spans="9:9">
      <c r="I35" s="156"/>
    </row>
    <row r="36" spans="9:9">
      <c r="I36" s="156"/>
    </row>
    <row r="38" spans="9:9">
      <c r="I38" s="156"/>
    </row>
    <row r="39" spans="9:9">
      <c r="I39" s="156"/>
    </row>
    <row r="40" spans="9:9">
      <c r="I40" s="156"/>
    </row>
    <row r="42" spans="9:9">
      <c r="I42" s="156"/>
    </row>
    <row r="44" spans="9:9">
      <c r="I44" s="156"/>
    </row>
    <row r="45" spans="9:9">
      <c r="I45" s="156"/>
    </row>
    <row r="47" spans="9:9">
      <c r="I47" s="156"/>
    </row>
    <row r="48" spans="9:9">
      <c r="I48" s="156"/>
    </row>
    <row r="49" spans="1:9">
      <c r="I49" s="156"/>
    </row>
    <row r="51" spans="1:9" s="18" customFormat="1" ht="14.1" customHeight="1">
      <c r="A51" s="18" t="s">
        <v>18</v>
      </c>
      <c r="B51" s="23">
        <v>526251106286</v>
      </c>
      <c r="C51" s="18">
        <v>32845128</v>
      </c>
      <c r="D51" s="18">
        <v>18</v>
      </c>
      <c r="E51" s="18" t="s">
        <v>177</v>
      </c>
      <c r="F51" s="18" t="s">
        <v>24</v>
      </c>
      <c r="G51" s="18" t="s">
        <v>178</v>
      </c>
      <c r="H51" s="18" t="s">
        <v>179</v>
      </c>
      <c r="I51" s="18" t="s">
        <v>180</v>
      </c>
    </row>
    <row r="52" spans="1:9" s="18" customFormat="1" ht="14.1" customHeight="1">
      <c r="A52" s="24" t="s">
        <v>39</v>
      </c>
      <c r="B52" s="23">
        <v>526251024489</v>
      </c>
      <c r="C52" s="25">
        <v>32845129</v>
      </c>
      <c r="D52" s="25">
        <v>18</v>
      </c>
      <c r="E52" s="25" t="s">
        <v>177</v>
      </c>
      <c r="F52" s="18" t="s">
        <v>43</v>
      </c>
      <c r="G52" s="18" t="s">
        <v>178</v>
      </c>
      <c r="H52" s="18" t="s">
        <v>179</v>
      </c>
      <c r="I52" s="18" t="s">
        <v>180</v>
      </c>
    </row>
    <row r="53" spans="1:9" s="18" customFormat="1" ht="14.1" customHeight="1">
      <c r="A53" s="24" t="s">
        <v>94</v>
      </c>
      <c r="B53" s="23">
        <v>526258372598</v>
      </c>
      <c r="C53" s="25">
        <v>32845131</v>
      </c>
      <c r="D53" s="25">
        <v>18</v>
      </c>
      <c r="E53" s="25" t="s">
        <v>177</v>
      </c>
      <c r="F53" s="18" t="s">
        <v>181</v>
      </c>
      <c r="G53" s="18" t="s">
        <v>178</v>
      </c>
      <c r="H53" s="18" t="s">
        <v>179</v>
      </c>
      <c r="I53" s="18" t="s">
        <v>180</v>
      </c>
    </row>
    <row r="54" spans="1:9" s="18" customFormat="1" ht="14.1" customHeight="1">
      <c r="A54" s="24" t="s">
        <v>50</v>
      </c>
      <c r="B54" s="23">
        <v>526255917395</v>
      </c>
      <c r="C54" s="25">
        <v>32845135</v>
      </c>
      <c r="D54" s="25">
        <v>18</v>
      </c>
      <c r="E54" s="25" t="s">
        <v>177</v>
      </c>
      <c r="F54" s="18" t="s">
        <v>52</v>
      </c>
      <c r="G54" s="18" t="s">
        <v>178</v>
      </c>
      <c r="H54" s="18" t="s">
        <v>179</v>
      </c>
      <c r="I54" s="18" t="s">
        <v>180</v>
      </c>
    </row>
    <row r="55" spans="1:9" s="18" customFormat="1" ht="14.1" customHeight="1">
      <c r="A55" s="24" t="s">
        <v>30</v>
      </c>
      <c r="B55" s="23">
        <v>526251271378</v>
      </c>
      <c r="C55" s="25">
        <v>32848029</v>
      </c>
      <c r="D55" s="25">
        <v>18</v>
      </c>
      <c r="E55" s="25" t="s">
        <v>177</v>
      </c>
      <c r="F55" s="18" t="s">
        <v>36</v>
      </c>
      <c r="G55" s="18" t="s">
        <v>178</v>
      </c>
      <c r="H55" s="18" t="s">
        <v>179</v>
      </c>
      <c r="I55" s="18" t="s">
        <v>180</v>
      </c>
    </row>
    <row r="56" spans="1:9" s="18" customFormat="1" ht="14.1" customHeight="1">
      <c r="A56" s="24" t="s">
        <v>56</v>
      </c>
      <c r="B56" s="23">
        <v>526251193016</v>
      </c>
      <c r="C56" s="25">
        <v>32848031</v>
      </c>
      <c r="D56" s="25">
        <v>18</v>
      </c>
      <c r="E56" s="25" t="s">
        <v>177</v>
      </c>
      <c r="F56" s="18" t="s">
        <v>58</v>
      </c>
      <c r="G56" s="18" t="s">
        <v>178</v>
      </c>
      <c r="H56" s="18" t="s">
        <v>179</v>
      </c>
      <c r="I56" s="18" t="s">
        <v>180</v>
      </c>
    </row>
    <row r="57" spans="1:9" s="18" customFormat="1" ht="14.1" customHeight="1">
      <c r="A57" s="24" t="s">
        <v>45</v>
      </c>
      <c r="B57" s="23">
        <v>526251452797</v>
      </c>
      <c r="C57" s="25">
        <v>32848096</v>
      </c>
      <c r="D57" s="25">
        <v>32</v>
      </c>
      <c r="E57" s="25" t="s">
        <v>177</v>
      </c>
      <c r="F57" s="18" t="s">
        <v>47</v>
      </c>
      <c r="G57" s="18" t="s">
        <v>178</v>
      </c>
      <c r="H57" s="18" t="s">
        <v>179</v>
      </c>
      <c r="I57" s="18" t="s">
        <v>180</v>
      </c>
    </row>
    <row r="58" spans="1:9" s="18" customFormat="1" ht="14.1" customHeight="1">
      <c r="A58" s="24" t="s">
        <v>153</v>
      </c>
      <c r="B58" s="23">
        <v>526251579804</v>
      </c>
      <c r="C58" s="25">
        <v>32848098</v>
      </c>
      <c r="D58" s="25">
        <v>32</v>
      </c>
      <c r="E58" s="25" t="s">
        <v>177</v>
      </c>
      <c r="F58" s="18" t="s">
        <v>157</v>
      </c>
      <c r="G58" s="18" t="s">
        <v>178</v>
      </c>
      <c r="I58" s="18" t="s">
        <v>180</v>
      </c>
    </row>
    <row r="59" spans="1:9" s="18" customFormat="1" ht="14.1" customHeight="1">
      <c r="A59" s="18" t="s">
        <v>118</v>
      </c>
      <c r="B59" s="23">
        <v>526251020790</v>
      </c>
      <c r="E59" s="25" t="s">
        <v>177</v>
      </c>
      <c r="F59" s="18" t="s">
        <v>120</v>
      </c>
      <c r="G59" s="18" t="s">
        <v>178</v>
      </c>
      <c r="I59" s="18" t="s">
        <v>180</v>
      </c>
    </row>
    <row r="60" spans="1:9" s="18" customFormat="1" ht="14.1" customHeight="1">
      <c r="A60" s="18" t="s">
        <v>147</v>
      </c>
      <c r="B60" s="23">
        <v>526251020266</v>
      </c>
      <c r="E60" s="18" t="s">
        <v>177</v>
      </c>
      <c r="F60" s="18" t="s">
        <v>186</v>
      </c>
      <c r="G60" s="18" t="s">
        <v>178</v>
      </c>
      <c r="H60" s="18" t="s">
        <v>179</v>
      </c>
      <c r="I60" s="18" t="s">
        <v>180</v>
      </c>
    </row>
    <row r="62" spans="1:9" s="20" customFormat="1" ht="14.1" customHeight="1">
      <c r="A62" s="29" t="s">
        <v>110</v>
      </c>
      <c r="B62" s="30">
        <v>526251059200</v>
      </c>
      <c r="C62" s="31">
        <v>32845132</v>
      </c>
      <c r="D62" s="31">
        <v>18</v>
      </c>
      <c r="E62" s="31" t="s">
        <v>177</v>
      </c>
      <c r="F62" s="20" t="s">
        <v>115</v>
      </c>
      <c r="I62" s="20" t="s">
        <v>93</v>
      </c>
    </row>
    <row r="63" spans="1:9" s="20" customFormat="1" ht="14.1" customHeight="1">
      <c r="A63" s="29" t="s">
        <v>99</v>
      </c>
      <c r="B63" s="30">
        <v>526251037317</v>
      </c>
      <c r="C63" s="31">
        <v>32848094</v>
      </c>
      <c r="D63" s="31">
        <v>32</v>
      </c>
      <c r="E63" s="31" t="s">
        <v>177</v>
      </c>
      <c r="F63" s="20" t="s">
        <v>101</v>
      </c>
      <c r="I63" s="20" t="s">
        <v>93</v>
      </c>
    </row>
    <row r="64" spans="1:9" s="20" customFormat="1" ht="14.1" customHeight="1">
      <c r="A64" s="29" t="s">
        <v>80</v>
      </c>
      <c r="B64" s="30">
        <v>526251020232</v>
      </c>
      <c r="C64" s="31"/>
      <c r="D64" s="31"/>
      <c r="E64" s="31" t="s">
        <v>177</v>
      </c>
      <c r="F64" s="20" t="s">
        <v>84</v>
      </c>
      <c r="I64" s="20" t="s">
        <v>93</v>
      </c>
    </row>
    <row r="65" spans="1:9" s="21" customFormat="1" ht="14.1" customHeight="1">
      <c r="A65" s="32" t="s">
        <v>61</v>
      </c>
      <c r="B65" s="33">
        <v>526251342314</v>
      </c>
      <c r="C65" s="34">
        <v>32848097</v>
      </c>
      <c r="D65" s="34">
        <v>32</v>
      </c>
      <c r="E65" s="34" t="s">
        <v>177</v>
      </c>
      <c r="F65" s="21" t="s">
        <v>183</v>
      </c>
      <c r="G65" s="21" t="s">
        <v>184</v>
      </c>
      <c r="I65" s="21" t="s">
        <v>180</v>
      </c>
    </row>
    <row r="66" spans="1:9" s="21" customFormat="1" ht="14.1" customHeight="1">
      <c r="A66" s="21" t="s">
        <v>122</v>
      </c>
      <c r="B66" s="33">
        <v>526251020642</v>
      </c>
      <c r="E66" s="34" t="s">
        <v>177</v>
      </c>
      <c r="F66" s="21" t="s">
        <v>185</v>
      </c>
      <c r="G66" s="21" t="s">
        <v>178</v>
      </c>
      <c r="I66" s="21" t="s">
        <v>180</v>
      </c>
    </row>
  </sheetData>
  <phoneticPr fontId="1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workbookViewId="0">
      <selection activeCell="D17" sqref="D17"/>
    </sheetView>
  </sheetViews>
  <sheetFormatPr baseColWidth="10" defaultColWidth="9.140625" defaultRowHeight="15"/>
  <cols>
    <col min="2" max="2" width="17.5703125" style="1" customWidth="1"/>
    <col min="3" max="3" width="21.7109375" style="1" customWidth="1"/>
    <col min="4" max="4" width="11.7109375" style="1" customWidth="1"/>
    <col min="5" max="5" width="27.28515625" style="1" customWidth="1"/>
    <col min="6" max="6" width="11.28515625" style="1" customWidth="1"/>
  </cols>
  <sheetData>
    <row r="1" spans="1:6">
      <c r="A1" s="2" t="s">
        <v>187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</row>
    <row r="2" spans="1:6">
      <c r="A2" s="4" t="s">
        <v>188</v>
      </c>
      <c r="B2" s="5" t="s">
        <v>24</v>
      </c>
      <c r="C2" s="5" t="s">
        <v>25</v>
      </c>
      <c r="D2" s="5" t="s">
        <v>26</v>
      </c>
      <c r="E2" s="6" t="s">
        <v>27</v>
      </c>
      <c r="F2" s="7">
        <v>43872</v>
      </c>
    </row>
    <row r="3" spans="1:6">
      <c r="A3" s="8" t="s">
        <v>188</v>
      </c>
      <c r="B3" s="9" t="s">
        <v>35</v>
      </c>
      <c r="C3" s="9" t="s">
        <v>36</v>
      </c>
      <c r="D3" s="9" t="s">
        <v>26</v>
      </c>
      <c r="E3" s="10" t="s">
        <v>37</v>
      </c>
      <c r="F3" s="11">
        <v>44603</v>
      </c>
    </row>
    <row r="4" spans="1:6">
      <c r="A4" s="4" t="s">
        <v>188</v>
      </c>
      <c r="B4" s="5" t="s">
        <v>35</v>
      </c>
      <c r="C4" s="5" t="s">
        <v>43</v>
      </c>
      <c r="D4" s="5" t="s">
        <v>26</v>
      </c>
      <c r="E4" s="6" t="s">
        <v>44</v>
      </c>
      <c r="F4" s="7">
        <v>44603</v>
      </c>
    </row>
    <row r="5" spans="1:6">
      <c r="A5" s="8" t="s">
        <v>188</v>
      </c>
      <c r="B5" s="9" t="s">
        <v>35</v>
      </c>
      <c r="C5" s="9" t="s">
        <v>47</v>
      </c>
      <c r="D5" s="9" t="s">
        <v>26</v>
      </c>
      <c r="E5" s="10" t="s">
        <v>48</v>
      </c>
      <c r="F5" s="11">
        <v>44603</v>
      </c>
    </row>
    <row r="6" spans="1:6">
      <c r="A6" s="4" t="s">
        <v>188</v>
      </c>
      <c r="B6" s="5" t="s">
        <v>35</v>
      </c>
      <c r="C6" s="5" t="s">
        <v>52</v>
      </c>
      <c r="D6" s="5" t="s">
        <v>53</v>
      </c>
      <c r="E6" s="6" t="s">
        <v>54</v>
      </c>
      <c r="F6" s="7">
        <v>44603</v>
      </c>
    </row>
    <row r="7" spans="1:6">
      <c r="A7" s="8" t="s">
        <v>188</v>
      </c>
      <c r="B7" s="9" t="s">
        <v>35</v>
      </c>
      <c r="C7" s="9" t="s">
        <v>58</v>
      </c>
      <c r="D7" s="9" t="s">
        <v>59</v>
      </c>
      <c r="E7" s="10" t="s">
        <v>60</v>
      </c>
      <c r="F7" s="11">
        <v>44603</v>
      </c>
    </row>
    <row r="8" spans="1:6">
      <c r="A8" s="4" t="s">
        <v>188</v>
      </c>
      <c r="B8" s="5" t="s">
        <v>66</v>
      </c>
      <c r="C8" s="5" t="s">
        <v>67</v>
      </c>
      <c r="D8" s="5" t="s">
        <v>68</v>
      </c>
      <c r="E8" s="6" t="s">
        <v>69</v>
      </c>
      <c r="F8" s="7">
        <v>44603</v>
      </c>
    </row>
    <row r="9" spans="1:6">
      <c r="A9" s="8" t="s">
        <v>189</v>
      </c>
      <c r="B9" s="9" t="s">
        <v>76</v>
      </c>
      <c r="C9" s="9" t="s">
        <v>77</v>
      </c>
      <c r="D9" s="9"/>
      <c r="E9" s="10" t="s">
        <v>78</v>
      </c>
      <c r="F9" s="11">
        <v>44384</v>
      </c>
    </row>
    <row r="10" spans="1:6">
      <c r="A10" s="4" t="s">
        <v>188</v>
      </c>
      <c r="B10" s="12" t="s">
        <v>83</v>
      </c>
      <c r="C10" s="12" t="s">
        <v>84</v>
      </c>
      <c r="D10" s="12" t="s">
        <v>85</v>
      </c>
      <c r="E10" s="6" t="s">
        <v>86</v>
      </c>
      <c r="F10" s="6">
        <v>44646</v>
      </c>
    </row>
    <row r="11" spans="1:6">
      <c r="A11" s="8" t="s">
        <v>188</v>
      </c>
      <c r="B11" s="13" t="s">
        <v>83</v>
      </c>
      <c r="C11" s="13" t="s">
        <v>89</v>
      </c>
      <c r="D11" s="13" t="s">
        <v>26</v>
      </c>
      <c r="E11" s="14" t="s">
        <v>90</v>
      </c>
      <c r="F11" s="10">
        <v>44646</v>
      </c>
    </row>
    <row r="12" spans="1:6">
      <c r="A12" s="4" t="s">
        <v>188</v>
      </c>
      <c r="B12" s="12" t="s">
        <v>83</v>
      </c>
      <c r="C12" s="12" t="s">
        <v>97</v>
      </c>
      <c r="D12" s="12" t="s">
        <v>85</v>
      </c>
      <c r="E12" s="15" t="s">
        <v>98</v>
      </c>
      <c r="F12" s="6">
        <v>44646</v>
      </c>
    </row>
    <row r="13" spans="1:6">
      <c r="A13" s="8" t="s">
        <v>188</v>
      </c>
      <c r="B13" s="13" t="s">
        <v>83</v>
      </c>
      <c r="C13" s="13" t="s">
        <v>101</v>
      </c>
      <c r="D13" s="13" t="s">
        <v>102</v>
      </c>
      <c r="E13" s="14" t="s">
        <v>103</v>
      </c>
      <c r="F13" s="10">
        <v>44646</v>
      </c>
    </row>
    <row r="14" spans="1:6">
      <c r="A14" s="4" t="s">
        <v>188</v>
      </c>
      <c r="B14" s="12" t="s">
        <v>83</v>
      </c>
      <c r="C14" s="5" t="s">
        <v>107</v>
      </c>
      <c r="D14" s="5" t="s">
        <v>26</v>
      </c>
      <c r="E14" s="15" t="s">
        <v>108</v>
      </c>
      <c r="F14" s="6">
        <v>44762</v>
      </c>
    </row>
    <row r="15" spans="1:6">
      <c r="A15" s="8" t="s">
        <v>188</v>
      </c>
      <c r="B15" s="13" t="s">
        <v>114</v>
      </c>
      <c r="C15" s="13" t="s">
        <v>115</v>
      </c>
      <c r="D15" s="13" t="s">
        <v>116</v>
      </c>
      <c r="E15" s="14" t="s">
        <v>117</v>
      </c>
      <c r="F15" s="10">
        <v>44647</v>
      </c>
    </row>
    <row r="16" spans="1:6">
      <c r="A16" s="4" t="s">
        <v>188</v>
      </c>
      <c r="B16" s="12" t="s">
        <v>114</v>
      </c>
      <c r="C16" s="12" t="s">
        <v>120</v>
      </c>
      <c r="D16" s="12" t="s">
        <v>116</v>
      </c>
      <c r="E16" s="15" t="s">
        <v>121</v>
      </c>
      <c r="F16" s="6">
        <v>44647</v>
      </c>
    </row>
    <row r="17" spans="1:6">
      <c r="A17" s="8" t="s">
        <v>188</v>
      </c>
      <c r="B17" s="9" t="s">
        <v>136</v>
      </c>
      <c r="C17" s="9" t="s">
        <v>190</v>
      </c>
      <c r="D17" s="16"/>
      <c r="E17" s="14" t="s">
        <v>138</v>
      </c>
      <c r="F17" s="9"/>
    </row>
    <row r="18" spans="1:6">
      <c r="A18" s="4" t="s">
        <v>189</v>
      </c>
      <c r="B18" s="5" t="s">
        <v>144</v>
      </c>
      <c r="C18" s="5" t="s">
        <v>145</v>
      </c>
      <c r="D18" s="17"/>
      <c r="E18" s="15" t="s">
        <v>146</v>
      </c>
      <c r="F18" s="5"/>
    </row>
    <row r="19" spans="1:6">
      <c r="A19" s="8" t="s">
        <v>188</v>
      </c>
      <c r="B19" s="9" t="s">
        <v>150</v>
      </c>
      <c r="C19" s="9" t="s">
        <v>151</v>
      </c>
      <c r="D19" s="16"/>
      <c r="E19" s="14" t="s">
        <v>152</v>
      </c>
      <c r="F19" s="9"/>
    </row>
    <row r="20" spans="1:6">
      <c r="A20" s="4" t="s">
        <v>189</v>
      </c>
      <c r="B20" s="17" t="s">
        <v>157</v>
      </c>
      <c r="C20" s="17" t="s">
        <v>158</v>
      </c>
      <c r="D20" s="17"/>
      <c r="E20" s="17"/>
      <c r="F20" s="17"/>
    </row>
    <row r="21" spans="1:6">
      <c r="A21" s="8" t="s">
        <v>189</v>
      </c>
      <c r="B21" s="9" t="s">
        <v>165</v>
      </c>
      <c r="C21" s="9" t="s">
        <v>166</v>
      </c>
      <c r="D21" s="16"/>
      <c r="E21" s="10" t="s">
        <v>167</v>
      </c>
      <c r="F21" s="16"/>
    </row>
    <row r="22" spans="1:6">
      <c r="A22" s="17"/>
      <c r="B22" s="17"/>
      <c r="C22" s="17"/>
      <c r="D22" s="17"/>
      <c r="E22" s="17"/>
      <c r="F22" s="17"/>
    </row>
    <row r="23" spans="1:6">
      <c r="A23" s="17"/>
      <c r="B23" s="17"/>
      <c r="C23" s="17"/>
      <c r="D23" s="17"/>
      <c r="E23" s="17"/>
      <c r="F23" s="1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 contínuo</vt:lpstr>
      <vt:lpstr>Estacionarios</vt:lpstr>
      <vt:lpstr>Sensores</vt:lpstr>
      <vt:lpstr>Relación de líneas</vt:lpstr>
      <vt:lpstr>Listado de 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Cosme E. Santiesteban Toca</dc:creator>
  <cp:lastModifiedBy>Cosme E. Santiesteban Toca</cp:lastModifiedBy>
  <dcterms:created xsi:type="dcterms:W3CDTF">2021-08-07T23:46:00Z</dcterms:created>
  <dcterms:modified xsi:type="dcterms:W3CDTF">2025-12-14T00:23:53Z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36C671D17A8B462BBF9260D0E1A0FBEC</vt:lpwstr>
  </property>
  <property fmtid="{D5CDD505-2E9C-101B-9397-08002B2CF9AE}" pid="3" name="KSOProductBuildVer">
    <vt:lpwstr>2058-12.2.0.16731</vt:lpwstr>
  </property>
</Properties>
</file>